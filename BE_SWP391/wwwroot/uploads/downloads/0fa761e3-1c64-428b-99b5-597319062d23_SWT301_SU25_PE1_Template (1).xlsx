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Q1" sheetId="2" r:id="rId1"/>
    <sheet name="Q2" sheetId="3" r:id="rId2"/>
    <sheet name="Q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C3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Input number line of code</t>
        </r>
      </text>
    </comment>
    <comment ref="A4" authorId="0">
      <text>
        <r>
          <rPr>
            <sz val="8"/>
            <rFont val="Tahoma"/>
            <charset val="134"/>
          </rPr>
          <t xml:space="preserve">Not mandatory
</t>
        </r>
      </text>
    </comment>
    <comment ref="C9" authorId="0">
      <text>
        <r>
          <rPr>
            <sz val="8"/>
            <rFont val="Tahoma"/>
            <charset val="134"/>
          </rPr>
          <t>Not mandatory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5" authorId="0">
      <text>
        <r>
          <rPr>
            <b/>
            <sz val="8"/>
            <color indexed="8"/>
            <rFont val="Times New Roman"/>
            <charset val="134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<sst xmlns="http://schemas.openxmlformats.org/spreadsheetml/2006/main" count="130" uniqueCount="99">
  <si>
    <t>Issue No</t>
  </si>
  <si>
    <t>Description</t>
  </si>
  <si>
    <t>Line</t>
  </si>
  <si>
    <t>Detail</t>
  </si>
  <si>
    <t>Incorrect matrix dimension check</t>
  </si>
  <si>
    <t>The check should be `A[0].length != B.length` instead of `==`, to ensure column count of A matches row count of B.</t>
  </si>
  <si>
    <t xml:space="preserve"> Result matrix dimensions misassigned</t>
  </si>
  <si>
    <t>Result matrix should be `new int[m][p]`, where `m = A.length`, `p = B[0].length`.</t>
  </si>
  <si>
    <t>Off-by-one error in outer loop</t>
  </si>
  <si>
    <t>The loop uses `i &lt;= m`, which exceeds bounds. It should be `i &lt; m`.</t>
  </si>
  <si>
    <t>Missing accumulation in multiplication</t>
  </si>
  <si>
    <t>Dot product should accumulate with `+=`, not just assign with `=`.</t>
  </si>
  <si>
    <t>Variable placement before validation</t>
  </si>
  <si>
    <t>3,8</t>
  </si>
  <si>
    <t>`m`, `n`, `p` are defined before validating matrices, which may cause errors with malformed input.</t>
  </si>
  <si>
    <t>Print statement syntax error</t>
  </si>
  <si>
    <t>`System.out.print(val &amp;&amp; " ");` is invalid – replace with `val + " "` for correct output.</t>
  </si>
  <si>
    <t>* Notes:</t>
  </si>
  <si>
    <t xml:space="preserve">Blue text is sample, needed to be deleted in the answer </t>
  </si>
  <si>
    <t>Function Code</t>
  </si>
  <si>
    <t>calculateShippingFee</t>
  </si>
  <si>
    <t>Function Name</t>
  </si>
  <si>
    <t>Created By</t>
  </si>
  <si>
    <t>Nguyễn Văn Phú Quý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</si>
  <si>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</si>
  <si>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</si>
  <si>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</si>
  <si>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</si>
  <si>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</si>
  <si>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</si>
  <si>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</si>
  <si>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</si>
  <si>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</si>
  <si>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</si>
  <si>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</si>
  <si>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</si>
  <si>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</si>
  <si>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Condition</t>
  </si>
  <si>
    <t xml:space="preserve">Precondition </t>
  </si>
  <si>
    <t>N/A</t>
  </si>
  <si>
    <t>Input condition</t>
  </si>
  <si>
    <t>size</t>
  </si>
  <si>
    <t>medium</t>
  </si>
  <si>
    <t>O</t>
  </si>
  <si>
    <t>LARGE</t>
  </si>
  <si>
    <t>small</t>
  </si>
  <si>
    <t>distance</t>
  </si>
  <si>
    <t>method</t>
  </si>
  <si>
    <t>air</t>
  </si>
  <si>
    <t>road</t>
  </si>
  <si>
    <t>water</t>
  </si>
  <si>
    <t>null</t>
  </si>
  <si>
    <t>Confirm</t>
  </si>
  <si>
    <t>Return</t>
  </si>
  <si>
    <t>Exception</t>
  </si>
  <si>
    <t>Log message</t>
  </si>
  <si>
    <t>Invalid shipping method</t>
  </si>
  <si>
    <t>Result</t>
  </si>
  <si>
    <t>Type(N : Normal, A : Abnormal, B : Boundary)</t>
  </si>
  <si>
    <t>N</t>
  </si>
  <si>
    <t>A</t>
  </si>
  <si>
    <t>Passed/Failed</t>
  </si>
  <si>
    <t>Executed Date</t>
  </si>
  <si>
    <t>Defect ID</t>
  </si>
  <si>
    <t>Don't edit the grey cell</t>
  </si>
  <si>
    <t>Test case</t>
  </si>
  <si>
    <t>Module Code</t>
  </si>
  <si>
    <t>KoiFoodCalculator</t>
  </si>
  <si>
    <t>Tester</t>
  </si>
  <si>
    <t>ID</t>
  </si>
  <si>
    <t>Test Case Description</t>
  </si>
  <si>
    <t>Pre -Condition</t>
  </si>
  <si>
    <t>Test Case Procedure</t>
  </si>
  <si>
    <t>Expected Output</t>
  </si>
  <si>
    <t>Test date
(dd/mm/yyyy)</t>
  </si>
  <si>
    <t>Note</t>
  </si>
  <si>
    <t>TC001</t>
  </si>
  <si>
    <t>Valid input - Calculate food amount (temp 10-15°C, feeding 1%)</t>
  </si>
  <si>
    <t>User accesses system with required role and opens 'Calculating Food Amount' form</t>
  </si>
  <si>
    <t>1. Enter 20 in 'Total Fish Weight'
2. Select '10°C - 15°C'
3. Enter 1 in 'Feeding Rate'
4. Click 'Calculate'</t>
  </si>
  <si>
    <t>Notification: Feed minimal, easily digestible food...
Message: Total daily food amount of Koi pond: 20 * 1 / 100 = 0.2 kg</t>
  </si>
  <si>
    <t>Untest</t>
  </si>
  <si>
    <t>TC002</t>
  </si>
  <si>
    <t>Invalid input - Total Fish Weight is empty</t>
  </si>
  <si>
    <t>User opens the form</t>
  </si>
  <si>
    <t>1. Leave 'Total Fish Weight' empty
2. Select '20°C - 25°C'
3. Enter 2
4. Click 'Calculate'</t>
  </si>
  <si>
    <t>Error: Total Fish Weight (kg) is required</t>
  </si>
  <si>
    <t>TC003</t>
  </si>
  <si>
    <t>Invalid input - Feeding rate is below accepted range for temp</t>
  </si>
  <si>
    <t>1. Enter 10 in 'Total Fish Weight'
2. Select '25°C - 30°C'
3. Enter 1
4. Click 'Calculate'</t>
  </si>
  <si>
    <t>Error: Daily food amount is not enough for fish</t>
  </si>
  <si>
    <t>TC004</t>
  </si>
  <si>
    <t>Invalid input - Feeding rate is too high for selected temp</t>
  </si>
  <si>
    <t>1. Enter 15 in 'Total Fish Weight'
2. Select '15°C - 20°C'
3. Enter 3
4. Click 'Calculate'</t>
  </si>
  <si>
    <t>Error: Excess amount of food given to fish daily</t>
  </si>
  <si>
    <t>TC005</t>
  </si>
  <si>
    <t>Valid edge input - Temperature &gt;30°C, feeding 3%</t>
  </si>
  <si>
    <t>1. Enter 5 in 'Total Fish Weight'
2. Select 'Above 30°C'
3. Enter 3
4. Click 'Calculate'</t>
  </si>
  <si>
    <t>Notification: Fish eat less due to low oxygen...
Message: Total daily food amount: 5 * 3 / 100 = 0.15 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</si>
</sst>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d\-mmm\-yy;@"/>
    <numFmt numFmtId="181" formatCode="mm/dd"/>
  </numFmts>
  <fonts count="52">
    <font>
      <sz val="11"/>
      <color theme="1"/>
      <name val="Calibri"/>
      <charset val="134"/>
      <scheme val="minor"/>
    </font>
    <font>
      <sz val="8"/>
      <name val="Tahoma"/>
      <charset val="134"/>
    </font>
    <font>
      <b/>
      <sz val="16"/>
      <name val="Tahoma"/>
      <charset val="134"/>
    </font>
    <font>
      <sz val="10"/>
      <color theme="1"/>
      <name val="Calibri"/>
      <charset val="134"/>
      <scheme val="minor"/>
    </font>
    <font>
      <b/>
      <u/>
      <sz val="10"/>
      <color indexed="12"/>
      <name val="Tahoma"/>
      <charset val="134"/>
    </font>
    <font>
      <sz val="10"/>
      <name val="Tahoma"/>
      <charset val="134"/>
    </font>
    <font>
      <b/>
      <sz val="10"/>
      <name val="Tahoma"/>
      <charset val="134"/>
    </font>
    <font>
      <sz val="10"/>
      <name val="Calibri"/>
      <charset val="134"/>
      <scheme val="minor"/>
    </font>
    <font>
      <b/>
      <sz val="8"/>
      <name val="Tahoma"/>
      <charset val="134"/>
    </font>
    <font>
      <b/>
      <sz val="8"/>
      <color rgb="FF0070C0"/>
      <name val="Tahoma"/>
      <charset val="134"/>
    </font>
    <font>
      <i/>
      <sz val="8"/>
      <name val="Tahoma"/>
      <charset val="134"/>
    </font>
    <font>
      <b/>
      <sz val="10"/>
      <color indexed="9"/>
      <name val="Tahoma"/>
      <charset val="134"/>
    </font>
    <font>
      <sz val="8"/>
      <color indexed="9"/>
      <name val="Tahoma"/>
      <charset val="134"/>
    </font>
    <font>
      <b/>
      <sz val="8"/>
      <color theme="1"/>
      <name val="Tahoma"/>
      <charset val="134"/>
    </font>
    <font>
      <b/>
      <sz val="12"/>
      <name val="Tahoma"/>
      <charset val="134"/>
    </font>
    <font>
      <sz val="8"/>
      <color theme="4"/>
      <name val="Tahoma"/>
      <charset val="134"/>
    </font>
    <font>
      <i/>
      <sz val="8"/>
      <color theme="4"/>
      <name val="Tahoma"/>
      <charset val="134"/>
    </font>
    <font>
      <b/>
      <sz val="8"/>
      <color theme="4"/>
      <name val="Tahoma"/>
      <charset val="134"/>
    </font>
    <font>
      <sz val="11"/>
      <name val="Tahoma"/>
      <charset val="134"/>
    </font>
    <font>
      <sz val="11"/>
      <color rgb="FF0285FF"/>
      <name val="Segoe UI"/>
      <charset val="134"/>
    </font>
    <font>
      <sz val="11"/>
      <name val="Segoe UI"/>
      <charset val="134"/>
    </font>
    <font>
      <sz val="8"/>
      <color indexed="17"/>
      <name val="Tahoma"/>
      <charset val="134"/>
    </font>
    <font>
      <b/>
      <sz val="8"/>
      <color indexed="9"/>
      <name val="Tahoma"/>
      <charset val="134"/>
    </font>
    <font>
      <b/>
      <sz val="8"/>
      <color rgb="FFFF0000"/>
      <name val="Tahoma"/>
      <charset val="134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  <font>
      <b/>
      <sz val="9"/>
      <name val="Tahoma"/>
      <charset val="134"/>
    </font>
    <font>
      <sz val="9"/>
      <name val="Tahoma"/>
      <charset val="134"/>
    </font>
    <font>
      <b/>
      <sz val="8"/>
      <color indexed="8"/>
      <name val="Times New Roman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 tint="-0.249977111117893"/>
        <bgColor indexed="3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1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auto="1"/>
      </top>
      <bottom style="thin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28" fillId="0" borderId="0" applyFont="0" applyFill="0" applyBorder="0" applyAlignment="0" applyProtection="0">
      <alignment vertical="center"/>
    </xf>
    <xf numFmtId="177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8" fontId="28" fillId="0" borderId="0" applyFont="0" applyFill="0" applyBorder="0" applyAlignment="0" applyProtection="0">
      <alignment vertical="center"/>
    </xf>
    <xf numFmtId="179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center"/>
    </xf>
    <xf numFmtId="0" fontId="28" fillId="10" borderId="63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64" applyNumberFormat="0" applyFill="0" applyAlignment="0" applyProtection="0">
      <alignment vertical="center"/>
    </xf>
    <xf numFmtId="0" fontId="35" fillId="0" borderId="64" applyNumberFormat="0" applyFill="0" applyAlignment="0" applyProtection="0">
      <alignment vertical="center"/>
    </xf>
    <xf numFmtId="0" fontId="36" fillId="0" borderId="6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1" borderId="66" applyNumberFormat="0" applyAlignment="0" applyProtection="0">
      <alignment vertical="center"/>
    </xf>
    <xf numFmtId="0" fontId="38" fillId="12" borderId="67" applyNumberFormat="0" applyAlignment="0" applyProtection="0">
      <alignment vertical="center"/>
    </xf>
    <xf numFmtId="0" fontId="39" fillId="12" borderId="66" applyNumberFormat="0" applyAlignment="0" applyProtection="0">
      <alignment vertical="center"/>
    </xf>
    <xf numFmtId="0" fontId="40" fillId="13" borderId="68" applyNumberFormat="0" applyAlignment="0" applyProtection="0">
      <alignment vertical="center"/>
    </xf>
    <xf numFmtId="0" fontId="41" fillId="0" borderId="69" applyNumberFormat="0" applyFill="0" applyAlignment="0" applyProtection="0">
      <alignment vertical="center"/>
    </xf>
    <xf numFmtId="0" fontId="42" fillId="0" borderId="70" applyNumberFormat="0" applyFill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8" fillId="0" borderId="0"/>
    <xf numFmtId="0" fontId="48" fillId="0" borderId="0"/>
  </cellStyleXfs>
  <cellXfs count="171">
    <xf numFmtId="0" fontId="0" fillId="0" borderId="0" xfId="0"/>
    <xf numFmtId="0" fontId="1" fillId="0" borderId="0" xfId="0" applyFont="1"/>
    <xf numFmtId="0" fontId="2" fillId="0" borderId="0" xfId="49" applyFont="1" applyAlignment="1">
      <alignment horizontal="center" vertical="top" wrapText="1"/>
    </xf>
    <xf numFmtId="0" fontId="3" fillId="0" borderId="0" xfId="0" applyFont="1"/>
    <xf numFmtId="0" fontId="4" fillId="0" borderId="1" xfId="6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/>
    <xf numFmtId="0" fontId="6" fillId="0" borderId="1" xfId="49" applyFont="1" applyBorder="1" applyAlignment="1">
      <alignment horizontal="left" vertical="top" wrapText="1"/>
    </xf>
    <xf numFmtId="0" fontId="5" fillId="0" borderId="2" xfId="49" applyFont="1" applyBorder="1" applyAlignment="1">
      <alignment horizontal="left" vertical="top" wrapText="1"/>
    </xf>
    <xf numFmtId="0" fontId="5" fillId="0" borderId="1" xfId="49" applyFont="1" applyBorder="1" applyAlignment="1">
      <alignment horizontal="left" vertical="top" wrapText="1"/>
    </xf>
    <xf numFmtId="0" fontId="7" fillId="0" borderId="0" xfId="0" applyFont="1"/>
    <xf numFmtId="0" fontId="6" fillId="0" borderId="2" xfId="49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2" fontId="5" fillId="0" borderId="2" xfId="0" applyNumberFormat="1" applyFont="1" applyBorder="1" applyAlignment="1">
      <alignment vertical="top" wrapText="1"/>
    </xf>
    <xf numFmtId="0" fontId="8" fillId="2" borderId="3" xfId="49" applyFont="1" applyFill="1" applyBorder="1" applyAlignment="1">
      <alignment horizontal="center" vertical="center" wrapText="1"/>
    </xf>
    <xf numFmtId="0" fontId="1" fillId="3" borderId="3" xfId="49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 wrapText="1"/>
    </xf>
    <xf numFmtId="16" fontId="1" fillId="4" borderId="3" xfId="0" applyNumberFormat="1" applyFont="1" applyFill="1" applyBorder="1" applyAlignment="1">
      <alignment horizontal="left" vertical="top"/>
    </xf>
    <xf numFmtId="16" fontId="1" fillId="4" borderId="3" xfId="0" applyNumberFormat="1" applyFont="1" applyFill="1" applyBorder="1" applyAlignment="1">
      <alignment horizontal="right" vertical="top"/>
    </xf>
    <xf numFmtId="0" fontId="1" fillId="4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/>
    </xf>
    <xf numFmtId="16" fontId="1" fillId="4" borderId="3" xfId="0" applyNumberFormat="1" applyFont="1" applyFill="1" applyBorder="1" applyAlignment="1">
      <alignment vertical="top"/>
    </xf>
    <xf numFmtId="0" fontId="8" fillId="0" borderId="0" xfId="50" applyFont="1"/>
    <xf numFmtId="0" fontId="9" fillId="0" borderId="0" xfId="50" applyFont="1"/>
    <xf numFmtId="0" fontId="1" fillId="0" borderId="0" xfId="50" applyFont="1"/>
    <xf numFmtId="0" fontId="8" fillId="0" borderId="0" xfId="50" applyFont="1" applyAlignment="1">
      <alignment horizontal="left"/>
    </xf>
    <xf numFmtId="0" fontId="1" fillId="0" borderId="0" xfId="50" applyFont="1" applyAlignment="1">
      <alignment horizontal="right"/>
    </xf>
    <xf numFmtId="0" fontId="1" fillId="0" borderId="0" xfId="50" applyFont="1" applyAlignment="1">
      <alignment horizontal="center"/>
    </xf>
    <xf numFmtId="0" fontId="8" fillId="5" borderId="4" xfId="49" applyFont="1" applyFill="1" applyBorder="1" applyAlignment="1">
      <alignment horizontal="left" wrapText="1"/>
    </xf>
    <xf numFmtId="0" fontId="8" fillId="5" borderId="5" xfId="49" applyFont="1" applyFill="1" applyBorder="1" applyAlignment="1">
      <alignment horizontal="left" wrapText="1"/>
    </xf>
    <xf numFmtId="49" fontId="10" fillId="6" borderId="6" xfId="49" applyNumberFormat="1" applyFont="1" applyFill="1" applyBorder="1" applyAlignment="1">
      <alignment horizontal="left" wrapText="1"/>
    </xf>
    <xf numFmtId="0" fontId="10" fillId="6" borderId="5" xfId="49" applyFont="1" applyFill="1" applyBorder="1" applyAlignment="1">
      <alignment horizontal="left" wrapText="1"/>
    </xf>
    <xf numFmtId="0" fontId="10" fillId="6" borderId="7" xfId="49" applyFont="1" applyFill="1" applyBorder="1" applyAlignment="1">
      <alignment horizontal="left" wrapText="1"/>
    </xf>
    <xf numFmtId="0" fontId="8" fillId="5" borderId="8" xfId="49" applyFont="1" applyFill="1" applyBorder="1" applyAlignment="1">
      <alignment horizontal="left" wrapText="1"/>
    </xf>
    <xf numFmtId="0" fontId="8" fillId="5" borderId="9" xfId="49" applyFont="1" applyFill="1" applyBorder="1" applyAlignment="1">
      <alignment horizontal="left" wrapText="1"/>
    </xf>
    <xf numFmtId="0" fontId="8" fillId="5" borderId="10" xfId="49" applyFont="1" applyFill="1" applyBorder="1" applyAlignment="1">
      <alignment horizontal="left" wrapText="1"/>
    </xf>
    <xf numFmtId="0" fontId="8" fillId="5" borderId="11" xfId="49" applyFont="1" applyFill="1" applyBorder="1" applyAlignment="1">
      <alignment horizontal="left" wrapText="1"/>
    </xf>
    <xf numFmtId="0" fontId="10" fillId="6" borderId="12" xfId="49" applyFont="1" applyFill="1" applyBorder="1" applyAlignment="1">
      <alignment horizontal="left" wrapText="1"/>
    </xf>
    <xf numFmtId="0" fontId="10" fillId="6" borderId="13" xfId="49" applyFont="1" applyFill="1" applyBorder="1" applyAlignment="1">
      <alignment horizontal="left" wrapText="1"/>
    </xf>
    <xf numFmtId="0" fontId="10" fillId="6" borderId="14" xfId="49" applyFont="1" applyFill="1" applyBorder="1" applyAlignment="1">
      <alignment horizontal="left" wrapText="1"/>
    </xf>
    <xf numFmtId="0" fontId="8" fillId="5" borderId="15" xfId="49" applyFont="1" applyFill="1" applyBorder="1" applyAlignment="1">
      <alignment horizontal="left" wrapText="1"/>
    </xf>
    <xf numFmtId="0" fontId="8" fillId="5" borderId="16" xfId="49" applyFont="1" applyFill="1" applyBorder="1" applyAlignment="1">
      <alignment horizontal="left" wrapText="1"/>
    </xf>
    <xf numFmtId="0" fontId="10" fillId="6" borderId="17" xfId="49" applyFont="1" applyFill="1" applyBorder="1" applyAlignment="1">
      <alignment horizontal="center" wrapText="1"/>
    </xf>
    <xf numFmtId="0" fontId="10" fillId="6" borderId="18" xfId="49" applyFont="1" applyFill="1" applyBorder="1" applyAlignment="1">
      <alignment horizontal="center" wrapText="1"/>
    </xf>
    <xf numFmtId="0" fontId="10" fillId="6" borderId="18" xfId="49" applyFont="1" applyFill="1" applyBorder="1" applyAlignment="1">
      <alignment horizontal="left" wrapText="1"/>
    </xf>
    <xf numFmtId="0" fontId="10" fillId="6" borderId="19" xfId="49" applyFont="1" applyFill="1" applyBorder="1" applyAlignment="1">
      <alignment horizontal="left" wrapText="1"/>
    </xf>
    <xf numFmtId="0" fontId="10" fillId="6" borderId="20" xfId="49" applyFont="1" applyFill="1" applyBorder="1" applyAlignment="1">
      <alignment horizontal="left" wrapText="1"/>
    </xf>
    <xf numFmtId="0" fontId="8" fillId="5" borderId="10" xfId="50" applyFont="1" applyFill="1" applyBorder="1" applyAlignment="1">
      <alignment horizontal="center" vertical="center"/>
    </xf>
    <xf numFmtId="0" fontId="8" fillId="5" borderId="11" xfId="50" applyFont="1" applyFill="1" applyBorder="1" applyAlignment="1">
      <alignment horizontal="center" vertical="center"/>
    </xf>
    <xf numFmtId="0" fontId="8" fillId="5" borderId="17" xfId="50" applyFont="1" applyFill="1" applyBorder="1" applyAlignment="1">
      <alignment horizontal="center" vertical="center" wrapText="1"/>
    </xf>
    <xf numFmtId="0" fontId="8" fillId="5" borderId="18" xfId="50" applyFont="1" applyFill="1" applyBorder="1" applyAlignment="1">
      <alignment horizontal="center" vertical="center" wrapText="1"/>
    </xf>
    <xf numFmtId="0" fontId="8" fillId="5" borderId="11" xfId="50" applyFont="1" applyFill="1" applyBorder="1" applyAlignment="1">
      <alignment horizontal="center" vertical="center" wrapText="1"/>
    </xf>
    <xf numFmtId="0" fontId="1" fillId="5" borderId="21" xfId="50" applyFont="1" applyFill="1" applyBorder="1" applyAlignment="1">
      <alignment horizontal="center" vertical="center"/>
    </xf>
    <xf numFmtId="0" fontId="1" fillId="5" borderId="22" xfId="50" applyFont="1" applyFill="1" applyBorder="1" applyAlignment="1">
      <alignment horizontal="center" vertical="center"/>
    </xf>
    <xf numFmtId="0" fontId="1" fillId="5" borderId="23" xfId="50" applyFont="1" applyFill="1" applyBorder="1" applyAlignment="1">
      <alignment horizontal="center" vertical="center"/>
    </xf>
    <xf numFmtId="0" fontId="1" fillId="5" borderId="24" xfId="50" applyFont="1" applyFill="1" applyBorder="1" applyAlignment="1">
      <alignment horizontal="center" vertical="center"/>
    </xf>
    <xf numFmtId="180" fontId="11" fillId="2" borderId="25" xfId="50" applyNumberFormat="1" applyFont="1" applyFill="1" applyBorder="1" applyAlignment="1">
      <alignment horizontal="center" vertical="center"/>
    </xf>
    <xf numFmtId="180" fontId="11" fillId="2" borderId="26" xfId="50" applyNumberFormat="1" applyFont="1" applyFill="1" applyBorder="1" applyAlignment="1">
      <alignment horizontal="center" vertical="center"/>
    </xf>
    <xf numFmtId="0" fontId="12" fillId="7" borderId="26" xfId="50" applyFont="1" applyFill="1" applyBorder="1"/>
    <xf numFmtId="0" fontId="13" fillId="7" borderId="27" xfId="50" applyFont="1" applyFill="1" applyBorder="1" applyAlignment="1">
      <alignment vertical="top" textRotation="180"/>
    </xf>
    <xf numFmtId="0" fontId="13" fillId="7" borderId="28" xfId="50" applyFont="1" applyFill="1" applyBorder="1" applyAlignment="1">
      <alignment vertical="center"/>
    </xf>
    <xf numFmtId="0" fontId="8" fillId="8" borderId="29" xfId="50" applyFont="1" applyFill="1" applyBorder="1" applyAlignment="1">
      <alignment horizontal="left" vertical="top"/>
    </xf>
    <xf numFmtId="0" fontId="1" fillId="8" borderId="5" xfId="50" applyFont="1" applyFill="1" applyBorder="1" applyAlignment="1">
      <alignment horizontal="center" vertical="top"/>
    </xf>
    <xf numFmtId="0" fontId="1" fillId="8" borderId="7" xfId="50" applyFont="1" applyFill="1" applyBorder="1" applyAlignment="1">
      <alignment horizontal="right" vertical="top"/>
    </xf>
    <xf numFmtId="0" fontId="10" fillId="9" borderId="30" xfId="50" applyFont="1" applyFill="1" applyBorder="1" applyAlignment="1">
      <alignment horizontal="right"/>
    </xf>
    <xf numFmtId="0" fontId="14" fillId="0" borderId="31" xfId="50" applyFont="1" applyBorder="1" applyAlignment="1">
      <alignment horizontal="center"/>
    </xf>
    <xf numFmtId="0" fontId="13" fillId="7" borderId="32" xfId="50" applyFont="1" applyFill="1" applyBorder="1" applyAlignment="1">
      <alignment vertical="center"/>
    </xf>
    <xf numFmtId="0" fontId="8" fillId="8" borderId="16" xfId="50" applyFont="1" applyFill="1" applyBorder="1" applyAlignment="1">
      <alignment horizontal="left" vertical="top"/>
    </xf>
    <xf numFmtId="0" fontId="1" fillId="8" borderId="16" xfId="50" applyFont="1" applyFill="1" applyBorder="1" applyAlignment="1">
      <alignment horizontal="center" vertical="top"/>
    </xf>
    <xf numFmtId="0" fontId="15" fillId="8" borderId="33" xfId="50" applyFont="1" applyFill="1" applyBorder="1" applyAlignment="1">
      <alignment horizontal="right" vertical="top"/>
    </xf>
    <xf numFmtId="0" fontId="16" fillId="9" borderId="34" xfId="50" applyFont="1" applyFill="1" applyBorder="1" applyAlignment="1">
      <alignment horizontal="right"/>
    </xf>
    <xf numFmtId="0" fontId="14" fillId="0" borderId="3" xfId="50" applyFont="1" applyBorder="1" applyAlignment="1">
      <alignment horizontal="center"/>
    </xf>
    <xf numFmtId="0" fontId="15" fillId="0" borderId="34" xfId="50" applyFont="1" applyBorder="1" applyAlignment="1">
      <alignment vertical="top"/>
    </xf>
    <xf numFmtId="0" fontId="15" fillId="9" borderId="34" xfId="50" applyFont="1" applyFill="1" applyBorder="1" applyAlignment="1">
      <alignment horizontal="right"/>
    </xf>
    <xf numFmtId="0" fontId="1" fillId="8" borderId="33" xfId="50" applyFont="1" applyFill="1" applyBorder="1" applyAlignment="1">
      <alignment horizontal="right" vertical="top"/>
    </xf>
    <xf numFmtId="0" fontId="1" fillId="0" borderId="29" xfId="50" applyFont="1" applyBorder="1" applyAlignment="1">
      <alignment horizontal="right"/>
    </xf>
    <xf numFmtId="0" fontId="1" fillId="0" borderId="35" xfId="50" applyFont="1" applyBorder="1" applyAlignment="1">
      <alignment horizontal="right"/>
    </xf>
    <xf numFmtId="0" fontId="1" fillId="0" borderId="16" xfId="50" applyFont="1" applyBorder="1" applyAlignment="1">
      <alignment horizontal="right"/>
    </xf>
    <xf numFmtId="0" fontId="1" fillId="0" borderId="33" xfId="50" applyFont="1" applyBorder="1" applyAlignment="1">
      <alignment horizontal="right"/>
    </xf>
    <xf numFmtId="0" fontId="1" fillId="0" borderId="34" xfId="50" applyFont="1" applyBorder="1" applyAlignment="1">
      <alignment horizontal="right"/>
    </xf>
    <xf numFmtId="0" fontId="17" fillId="8" borderId="16" xfId="50" applyFont="1" applyFill="1" applyBorder="1" applyAlignment="1">
      <alignment horizontal="left" vertical="top"/>
    </xf>
    <xf numFmtId="0" fontId="15" fillId="0" borderId="29" xfId="50" applyFont="1" applyBorder="1" applyAlignment="1">
      <alignment horizontal="right"/>
    </xf>
    <xf numFmtId="0" fontId="15" fillId="0" borderId="35" xfId="50" applyFont="1" applyBorder="1" applyAlignment="1">
      <alignment horizontal="right"/>
    </xf>
    <xf numFmtId="0" fontId="1" fillId="8" borderId="35" xfId="50" applyFont="1" applyFill="1" applyBorder="1" applyAlignment="1">
      <alignment horizontal="right" vertical="top"/>
    </xf>
    <xf numFmtId="0" fontId="1" fillId="9" borderId="34" xfId="50" applyFont="1" applyFill="1" applyBorder="1" applyAlignment="1">
      <alignment horizontal="right"/>
    </xf>
    <xf numFmtId="0" fontId="8" fillId="8" borderId="36" xfId="50" applyFont="1" applyFill="1" applyBorder="1" applyAlignment="1">
      <alignment horizontal="left" vertical="top"/>
    </xf>
    <xf numFmtId="0" fontId="8" fillId="7" borderId="37" xfId="50" applyFont="1" applyFill="1" applyBorder="1" applyAlignment="1">
      <alignment vertical="center"/>
    </xf>
    <xf numFmtId="0" fontId="8" fillId="8" borderId="38" xfId="50" applyFont="1" applyFill="1" applyBorder="1" applyAlignment="1">
      <alignment horizontal="left" vertical="top"/>
    </xf>
    <xf numFmtId="0" fontId="1" fillId="8" borderId="39" xfId="50" applyFont="1" applyFill="1" applyBorder="1" applyAlignment="1">
      <alignment horizontal="center" vertical="top"/>
    </xf>
    <xf numFmtId="0" fontId="1" fillId="8" borderId="40" xfId="50" applyFont="1" applyFill="1" applyBorder="1" applyAlignment="1">
      <alignment horizontal="right" vertical="top"/>
    </xf>
    <xf numFmtId="0" fontId="14" fillId="0" borderId="41" xfId="50" applyFont="1" applyBorder="1" applyAlignment="1">
      <alignment horizontal="center"/>
    </xf>
    <xf numFmtId="0" fontId="8" fillId="7" borderId="28" xfId="50" applyFont="1" applyFill="1" applyBorder="1" applyAlignment="1">
      <alignment vertical="top"/>
    </xf>
    <xf numFmtId="0" fontId="8" fillId="8" borderId="42" xfId="50" applyFont="1" applyFill="1" applyBorder="1"/>
    <xf numFmtId="0" fontId="8" fillId="8" borderId="5" xfId="50" applyFont="1" applyFill="1" applyBorder="1"/>
    <xf numFmtId="0" fontId="1" fillId="8" borderId="7" xfId="50" applyFont="1" applyFill="1" applyBorder="1" applyAlignment="1">
      <alignment horizontal="right"/>
    </xf>
    <xf numFmtId="0" fontId="1" fillId="9" borderId="43" xfId="50" applyFont="1" applyFill="1" applyBorder="1" applyAlignment="1">
      <alignment horizontal="left"/>
    </xf>
    <xf numFmtId="0" fontId="14" fillId="0" borderId="43" xfId="50" applyFont="1" applyBorder="1" applyAlignment="1">
      <alignment horizontal="center"/>
    </xf>
    <xf numFmtId="0" fontId="8" fillId="7" borderId="32" xfId="50" applyFont="1" applyFill="1" applyBorder="1" applyAlignment="1">
      <alignment vertical="top"/>
    </xf>
    <xf numFmtId="0" fontId="8" fillId="8" borderId="36" xfId="50" applyFont="1" applyFill="1" applyBorder="1"/>
    <xf numFmtId="0" fontId="1" fillId="8" borderId="16" xfId="50" applyFont="1" applyFill="1" applyBorder="1"/>
    <xf numFmtId="0" fontId="1" fillId="8" borderId="33" xfId="50" applyFont="1" applyFill="1" applyBorder="1" applyAlignment="1">
      <alignment horizontal="right"/>
    </xf>
    <xf numFmtId="0" fontId="1" fillId="9" borderId="3" xfId="50" applyFont="1" applyFill="1" applyBorder="1" applyAlignment="1">
      <alignment horizontal="left"/>
    </xf>
    <xf numFmtId="0" fontId="18" fillId="8" borderId="16" xfId="50" applyFont="1" applyFill="1" applyBorder="1"/>
    <xf numFmtId="0" fontId="1" fillId="9" borderId="3" xfId="50" applyFont="1" applyFill="1" applyBorder="1"/>
    <xf numFmtId="0" fontId="13" fillId="7" borderId="32" xfId="50" applyFont="1" applyFill="1" applyBorder="1" applyAlignment="1">
      <alignment vertical="top"/>
    </xf>
    <xf numFmtId="0" fontId="19" fillId="0" borderId="0" xfId="0" applyFont="1"/>
    <xf numFmtId="0" fontId="15" fillId="8" borderId="33" xfId="50" applyFont="1" applyFill="1" applyBorder="1" applyAlignment="1">
      <alignment horizontal="right"/>
    </xf>
    <xf numFmtId="0" fontId="13" fillId="7" borderId="37" xfId="50" applyFont="1" applyFill="1" applyBorder="1" applyAlignment="1">
      <alignment vertical="top"/>
    </xf>
    <xf numFmtId="0" fontId="20" fillId="0" borderId="0" xfId="0" applyFont="1"/>
    <xf numFmtId="0" fontId="1" fillId="8" borderId="44" xfId="50" applyFont="1" applyFill="1" applyBorder="1"/>
    <xf numFmtId="0" fontId="15" fillId="8" borderId="45" xfId="50" applyFont="1" applyFill="1" applyBorder="1" applyAlignment="1">
      <alignment horizontal="right"/>
    </xf>
    <xf numFmtId="0" fontId="1" fillId="9" borderId="46" xfId="50" applyFont="1" applyFill="1" applyBorder="1" applyAlignment="1">
      <alignment horizontal="left"/>
    </xf>
    <xf numFmtId="0" fontId="14" fillId="0" borderId="46" xfId="50" applyFont="1" applyBorder="1" applyAlignment="1">
      <alignment horizontal="center"/>
    </xf>
    <xf numFmtId="0" fontId="1" fillId="0" borderId="35" xfId="50" applyFont="1" applyBorder="1" applyAlignment="1">
      <alignment horizontal="left"/>
    </xf>
    <xf numFmtId="0" fontId="1" fillId="0" borderId="31" xfId="50" applyFont="1" applyBorder="1" applyAlignment="1">
      <alignment horizontal="left"/>
    </xf>
    <xf numFmtId="0" fontId="1" fillId="0" borderId="31" xfId="50" applyFont="1" applyBorder="1" applyAlignment="1">
      <alignment horizontal="center"/>
    </xf>
    <xf numFmtId="0" fontId="1" fillId="0" borderId="33" xfId="50" applyFont="1" applyBorder="1" applyAlignment="1">
      <alignment horizontal="left"/>
    </xf>
    <xf numFmtId="0" fontId="1" fillId="0" borderId="3" xfId="50" applyFont="1" applyBorder="1" applyAlignment="1">
      <alignment horizontal="left"/>
    </xf>
    <xf numFmtId="0" fontId="21" fillId="0" borderId="3" xfId="50" applyFont="1" applyBorder="1" applyAlignment="1">
      <alignment horizontal="left"/>
    </xf>
    <xf numFmtId="0" fontId="1" fillId="0" borderId="3" xfId="50" applyFont="1" applyBorder="1" applyAlignment="1">
      <alignment horizontal="center"/>
    </xf>
    <xf numFmtId="0" fontId="1" fillId="0" borderId="33" xfId="50" applyFont="1" applyBorder="1" applyAlignment="1">
      <alignment horizontal="left" vertical="top"/>
    </xf>
    <xf numFmtId="0" fontId="1" fillId="0" borderId="3" xfId="50" applyFont="1" applyBorder="1" applyAlignment="1">
      <alignment horizontal="left" vertical="top"/>
    </xf>
    <xf numFmtId="0" fontId="1" fillId="0" borderId="3" xfId="50" applyFont="1" applyBorder="1"/>
    <xf numFmtId="181" fontId="1" fillId="0" borderId="3" xfId="50" applyNumberFormat="1" applyFont="1" applyBorder="1" applyAlignment="1">
      <alignment vertical="top" textRotation="255"/>
    </xf>
    <xf numFmtId="0" fontId="1" fillId="0" borderId="45" xfId="50" applyFont="1" applyBorder="1" applyAlignment="1">
      <alignment horizontal="left" vertical="top"/>
    </xf>
    <xf numFmtId="0" fontId="1" fillId="0" borderId="46" xfId="50" applyFont="1" applyBorder="1" applyAlignment="1">
      <alignment horizontal="left" vertical="top"/>
    </xf>
    <xf numFmtId="0" fontId="1" fillId="0" borderId="46" xfId="50" applyFont="1" applyBorder="1"/>
    <xf numFmtId="0" fontId="1" fillId="0" borderId="46" xfId="50" applyFont="1" applyBorder="1" applyAlignment="1">
      <alignment textRotation="255"/>
    </xf>
    <xf numFmtId="0" fontId="22" fillId="0" borderId="0" xfId="50" applyFont="1" applyAlignment="1">
      <alignment vertical="top"/>
    </xf>
    <xf numFmtId="0" fontId="1" fillId="7" borderId="0" xfId="50" applyFont="1" applyFill="1"/>
    <xf numFmtId="0" fontId="8" fillId="7" borderId="0" xfId="50" applyFont="1" applyFill="1" applyAlignment="1">
      <alignment horizontal="left"/>
    </xf>
    <xf numFmtId="49" fontId="1" fillId="6" borderId="6" xfId="49" applyNumberFormat="1" applyFont="1" applyFill="1" applyBorder="1" applyAlignment="1">
      <alignment horizontal="center" wrapText="1"/>
    </xf>
    <xf numFmtId="0" fontId="1" fillId="6" borderId="5" xfId="49" applyFont="1" applyFill="1" applyBorder="1" applyAlignment="1">
      <alignment horizontal="center" wrapText="1"/>
    </xf>
    <xf numFmtId="0" fontId="8" fillId="5" borderId="33" xfId="49" applyFont="1" applyFill="1" applyBorder="1" applyAlignment="1">
      <alignment horizontal="left" wrapText="1"/>
    </xf>
    <xf numFmtId="0" fontId="10" fillId="6" borderId="13" xfId="49" applyFont="1" applyFill="1" applyBorder="1" applyAlignment="1">
      <alignment wrapText="1"/>
    </xf>
    <xf numFmtId="0" fontId="1" fillId="5" borderId="47" xfId="49" applyFont="1" applyFill="1" applyBorder="1" applyAlignment="1">
      <alignment horizontal="center" wrapText="1"/>
    </xf>
    <xf numFmtId="0" fontId="1" fillId="5" borderId="18" xfId="49" applyFont="1" applyFill="1" applyBorder="1" applyAlignment="1">
      <alignment horizontal="center" wrapText="1"/>
    </xf>
    <xf numFmtId="0" fontId="8" fillId="5" borderId="48" xfId="50" applyFont="1" applyFill="1" applyBorder="1" applyAlignment="1">
      <alignment horizontal="center" vertical="center" wrapText="1"/>
    </xf>
    <xf numFmtId="0" fontId="8" fillId="5" borderId="47" xfId="50" applyFont="1" applyFill="1" applyBorder="1" applyAlignment="1">
      <alignment horizontal="center" vertical="center" wrapText="1"/>
    </xf>
    <xf numFmtId="0" fontId="1" fillId="5" borderId="49" xfId="50" applyFont="1" applyFill="1" applyBorder="1" applyAlignment="1">
      <alignment horizontal="center" vertical="center"/>
    </xf>
    <xf numFmtId="0" fontId="1" fillId="5" borderId="50" xfId="50" applyFont="1" applyFill="1" applyBorder="1" applyAlignment="1">
      <alignment horizontal="center" vertical="center"/>
    </xf>
    <xf numFmtId="0" fontId="22" fillId="7" borderId="27" xfId="50" applyFont="1" applyFill="1" applyBorder="1" applyAlignment="1">
      <alignment vertical="top" textRotation="180"/>
    </xf>
    <xf numFmtId="0" fontId="23" fillId="0" borderId="0" xfId="50" applyFont="1" applyAlignment="1">
      <alignment horizontal="left"/>
    </xf>
    <xf numFmtId="0" fontId="1" fillId="6" borderId="51" xfId="49" applyFont="1" applyFill="1" applyBorder="1" applyAlignment="1">
      <alignment horizontal="center" wrapText="1"/>
    </xf>
    <xf numFmtId="0" fontId="10" fillId="6" borderId="52" xfId="49" applyFont="1" applyFill="1" applyBorder="1" applyAlignment="1">
      <alignment wrapText="1"/>
    </xf>
    <xf numFmtId="0" fontId="1" fillId="5" borderId="53" xfId="49" applyFont="1" applyFill="1" applyBorder="1" applyAlignment="1">
      <alignment horizontal="center" wrapText="1"/>
    </xf>
    <xf numFmtId="0" fontId="8" fillId="5" borderId="54" xfId="50" applyFont="1" applyFill="1" applyBorder="1" applyAlignment="1">
      <alignment horizontal="center" vertical="center" wrapText="1"/>
    </xf>
    <xf numFmtId="0" fontId="1" fillId="5" borderId="55" xfId="50" applyFont="1" applyFill="1" applyBorder="1" applyAlignment="1">
      <alignment horizontal="center" vertical="center"/>
    </xf>
    <xf numFmtId="0" fontId="1" fillId="0" borderId="56" xfId="50" applyFont="1" applyBorder="1"/>
    <xf numFmtId="0" fontId="22" fillId="7" borderId="57" xfId="50" applyFont="1" applyFill="1" applyBorder="1" applyAlignment="1">
      <alignment vertical="top" textRotation="180"/>
    </xf>
    <xf numFmtId="49" fontId="1" fillId="0" borderId="0" xfId="50" applyNumberFormat="1" applyFont="1" applyAlignment="1">
      <alignment horizontal="center"/>
    </xf>
    <xf numFmtId="0" fontId="14" fillId="0" borderId="58" xfId="50" applyFont="1" applyBorder="1" applyAlignment="1">
      <alignment horizontal="center"/>
    </xf>
    <xf numFmtId="0" fontId="14" fillId="0" borderId="59" xfId="50" applyFont="1" applyBorder="1" applyAlignment="1">
      <alignment horizontal="center"/>
    </xf>
    <xf numFmtId="0" fontId="8" fillId="0" borderId="0" xfId="50" applyFont="1" applyAlignment="1">
      <alignment horizontal="center"/>
    </xf>
    <xf numFmtId="0" fontId="14" fillId="0" borderId="60" xfId="50" applyFont="1" applyBorder="1" applyAlignment="1">
      <alignment horizontal="center"/>
    </xf>
    <xf numFmtId="0" fontId="14" fillId="0" borderId="61" xfId="50" applyFont="1" applyBorder="1" applyAlignment="1">
      <alignment horizontal="center"/>
    </xf>
    <xf numFmtId="0" fontId="14" fillId="0" borderId="62" xfId="50" applyFont="1" applyBorder="1" applyAlignment="1">
      <alignment horizontal="center"/>
    </xf>
    <xf numFmtId="0" fontId="1" fillId="0" borderId="58" xfId="50" applyFont="1" applyBorder="1" applyAlignment="1">
      <alignment horizontal="center"/>
    </xf>
    <xf numFmtId="0" fontId="1" fillId="0" borderId="59" xfId="50" applyFont="1" applyBorder="1" applyAlignment="1">
      <alignment horizontal="center"/>
    </xf>
    <xf numFmtId="181" fontId="1" fillId="0" borderId="59" xfId="50" applyNumberFormat="1" applyFont="1" applyBorder="1" applyAlignment="1">
      <alignment vertical="top" textRotation="255"/>
    </xf>
    <xf numFmtId="0" fontId="1" fillId="0" borderId="62" xfId="50" applyFont="1" applyBorder="1" applyAlignment="1">
      <alignment textRotation="255"/>
    </xf>
    <xf numFmtId="0" fontId="24" fillId="7" borderId="3" xfId="0" applyFont="1" applyFill="1" applyBorder="1" applyAlignment="1">
      <alignment horizontal="center"/>
    </xf>
    <xf numFmtId="0" fontId="25" fillId="7" borderId="3" xfId="0" applyFont="1" applyFill="1" applyBorder="1" applyAlignment="1">
      <alignment horizontal="center"/>
    </xf>
    <xf numFmtId="0" fontId="26" fillId="0" borderId="0" xfId="0" applyFont="1"/>
    <xf numFmtId="0" fontId="27" fillId="0" borderId="3" xfId="0" applyFont="1" applyBorder="1" applyAlignment="1">
      <alignment horizontal="center" vertical="top"/>
    </xf>
    <xf numFmtId="0" fontId="26" fillId="0" borderId="3" xfId="0" applyFont="1" applyBorder="1" applyAlignment="1">
      <alignment vertical="top" wrapText="1"/>
    </xf>
    <xf numFmtId="0" fontId="26" fillId="0" borderId="3" xfId="0" applyFont="1" applyBorder="1" applyAlignment="1">
      <alignment horizontal="right" vertical="top" wrapText="1"/>
    </xf>
    <xf numFmtId="0" fontId="26" fillId="0" borderId="3" xfId="0" applyFont="1" applyBorder="1" applyAlignment="1">
      <alignment vertical="top"/>
    </xf>
    <xf numFmtId="0" fontId="26" fillId="0" borderId="3" xfId="0" applyFont="1" applyBorder="1" applyAlignment="1">
      <alignment horizontal="right" vertical="top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  <cellStyle name="Normal_Template_UnitTest Case_v0.9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B21" sqref="B21"/>
    </sheetView>
  </sheetViews>
  <sheetFormatPr defaultColWidth="9" defaultRowHeight="14.4" outlineLevelCol="5"/>
  <cols>
    <col min="1" max="1" width="8" customWidth="1"/>
    <col min="2" max="2" width="71.5740740740741" customWidth="1"/>
    <col min="3" max="3" width="4.28703703703704" customWidth="1"/>
    <col min="4" max="4" width="107.138888888889" customWidth="1"/>
  </cols>
  <sheetData>
    <row r="1" spans="1:6">
      <c r="A1" s="163" t="s">
        <v>0</v>
      </c>
      <c r="B1" s="164" t="s">
        <v>1</v>
      </c>
      <c r="C1" s="164" t="s">
        <v>2</v>
      </c>
      <c r="D1" s="164" t="s">
        <v>3</v>
      </c>
      <c r="E1" s="165"/>
      <c r="F1" s="165"/>
    </row>
    <row r="2" spans="1:6">
      <c r="A2" s="166">
        <v>1</v>
      </c>
      <c r="B2" s="167" t="s">
        <v>4</v>
      </c>
      <c r="C2" s="168">
        <v>4</v>
      </c>
      <c r="D2" s="169" t="s">
        <v>5</v>
      </c>
      <c r="E2" s="165"/>
      <c r="F2" s="165"/>
    </row>
    <row r="3" spans="1:6">
      <c r="A3" s="166">
        <v>2</v>
      </c>
      <c r="B3" s="167" t="s">
        <v>6</v>
      </c>
      <c r="C3" s="168">
        <v>8</v>
      </c>
      <c r="D3" s="169" t="s">
        <v>7</v>
      </c>
      <c r="E3" s="165"/>
      <c r="F3" s="165"/>
    </row>
    <row r="4" spans="1:6">
      <c r="A4" s="166">
        <v>3</v>
      </c>
      <c r="B4" s="167" t="s">
        <v>8</v>
      </c>
      <c r="C4" s="168">
        <v>9</v>
      </c>
      <c r="D4" s="169" t="s">
        <v>9</v>
      </c>
      <c r="E4" s="165"/>
      <c r="F4" s="165"/>
    </row>
    <row r="5" spans="1:6">
      <c r="A5" s="166">
        <v>4</v>
      </c>
      <c r="B5" s="169" t="s">
        <v>10</v>
      </c>
      <c r="C5" s="170">
        <v>12</v>
      </c>
      <c r="D5" s="169" t="s">
        <v>11</v>
      </c>
      <c r="E5" s="165"/>
      <c r="F5" s="165"/>
    </row>
    <row r="6" spans="1:6">
      <c r="A6" s="166">
        <v>5</v>
      </c>
      <c r="B6" s="169" t="s">
        <v>12</v>
      </c>
      <c r="C6" s="170" t="s">
        <v>13</v>
      </c>
      <c r="D6" s="167" t="s">
        <v>14</v>
      </c>
      <c r="E6" s="165"/>
      <c r="F6" s="165"/>
    </row>
    <row r="7" spans="1:6">
      <c r="A7" s="166">
        <v>6</v>
      </c>
      <c r="B7" s="169" t="s">
        <v>15</v>
      </c>
      <c r="C7" s="170">
        <v>22</v>
      </c>
      <c r="D7" s="167" t="s">
        <v>16</v>
      </c>
      <c r="E7" s="165"/>
      <c r="F7" s="165"/>
    </row>
    <row r="8" spans="2:6">
      <c r="B8" s="165"/>
      <c r="C8" s="165"/>
      <c r="D8" s="165"/>
      <c r="E8" s="165"/>
      <c r="F8" s="165"/>
    </row>
    <row r="9" spans="1:3">
      <c r="A9" s="24" t="s">
        <v>17</v>
      </c>
      <c r="B9" s="25" t="s">
        <v>18</v>
      </c>
      <c r="C9" s="2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7"/>
  <sheetViews>
    <sheetView workbookViewId="0">
      <selection activeCell="W17" sqref="W17"/>
    </sheetView>
  </sheetViews>
  <sheetFormatPr defaultColWidth="9" defaultRowHeight="10.2"/>
  <cols>
    <col min="1" max="1" width="8.13888888888889" style="26" customWidth="1"/>
    <col min="2" max="2" width="13.287037037037" style="27" customWidth="1"/>
    <col min="3" max="3" width="10.712962962963" style="26" customWidth="1"/>
    <col min="4" max="4" width="11.287037037037" style="28" customWidth="1"/>
    <col min="5" max="5" width="1.71296296296296" style="26" hidden="1" customWidth="1"/>
    <col min="6" max="21" width="2.85185185185185" style="26" customWidth="1"/>
    <col min="22" max="22" width="9" style="29"/>
    <col min="23" max="23" width="24.287037037037" style="26" customWidth="1"/>
    <col min="24" max="24" width="9" style="26"/>
    <col min="25" max="25" width="15.1388888888889" style="26" customWidth="1"/>
    <col min="26" max="256" width="9" style="26"/>
    <col min="257" max="257" width="8.13888888888889" style="26" customWidth="1"/>
    <col min="258" max="258" width="13.287037037037" style="26" customWidth="1"/>
    <col min="259" max="259" width="10.712962962963" style="26" customWidth="1"/>
    <col min="260" max="260" width="11.287037037037" style="26" customWidth="1"/>
    <col min="261" max="261" width="9" style="26" hidden="1" customWidth="1"/>
    <col min="262" max="277" width="2.85185185185185" style="26" customWidth="1"/>
    <col min="278" max="512" width="9" style="26"/>
    <col min="513" max="513" width="8.13888888888889" style="26" customWidth="1"/>
    <col min="514" max="514" width="13.287037037037" style="26" customWidth="1"/>
    <col min="515" max="515" width="10.712962962963" style="26" customWidth="1"/>
    <col min="516" max="516" width="11.287037037037" style="26" customWidth="1"/>
    <col min="517" max="517" width="9" style="26" hidden="1" customWidth="1"/>
    <col min="518" max="533" width="2.85185185185185" style="26" customWidth="1"/>
    <col min="534" max="768" width="9" style="26"/>
    <col min="769" max="769" width="8.13888888888889" style="26" customWidth="1"/>
    <col min="770" max="770" width="13.287037037037" style="26" customWidth="1"/>
    <col min="771" max="771" width="10.712962962963" style="26" customWidth="1"/>
    <col min="772" max="772" width="11.287037037037" style="26" customWidth="1"/>
    <col min="773" max="773" width="9" style="26" hidden="1" customWidth="1"/>
    <col min="774" max="789" width="2.85185185185185" style="26" customWidth="1"/>
    <col min="790" max="1024" width="9" style="26"/>
    <col min="1025" max="1025" width="8.13888888888889" style="26" customWidth="1"/>
    <col min="1026" max="1026" width="13.287037037037" style="26" customWidth="1"/>
    <col min="1027" max="1027" width="10.712962962963" style="26" customWidth="1"/>
    <col min="1028" max="1028" width="11.287037037037" style="26" customWidth="1"/>
    <col min="1029" max="1029" width="9" style="26" hidden="1" customWidth="1"/>
    <col min="1030" max="1045" width="2.85185185185185" style="26" customWidth="1"/>
    <col min="1046" max="1280" width="9" style="26"/>
    <col min="1281" max="1281" width="8.13888888888889" style="26" customWidth="1"/>
    <col min="1282" max="1282" width="13.287037037037" style="26" customWidth="1"/>
    <col min="1283" max="1283" width="10.712962962963" style="26" customWidth="1"/>
    <col min="1284" max="1284" width="11.287037037037" style="26" customWidth="1"/>
    <col min="1285" max="1285" width="9" style="26" hidden="1" customWidth="1"/>
    <col min="1286" max="1301" width="2.85185185185185" style="26" customWidth="1"/>
    <col min="1302" max="1536" width="9" style="26"/>
    <col min="1537" max="1537" width="8.13888888888889" style="26" customWidth="1"/>
    <col min="1538" max="1538" width="13.287037037037" style="26" customWidth="1"/>
    <col min="1539" max="1539" width="10.712962962963" style="26" customWidth="1"/>
    <col min="1540" max="1540" width="11.287037037037" style="26" customWidth="1"/>
    <col min="1541" max="1541" width="9" style="26" hidden="1" customWidth="1"/>
    <col min="1542" max="1557" width="2.85185185185185" style="26" customWidth="1"/>
    <col min="1558" max="1792" width="9" style="26"/>
    <col min="1793" max="1793" width="8.13888888888889" style="26" customWidth="1"/>
    <col min="1794" max="1794" width="13.287037037037" style="26" customWidth="1"/>
    <col min="1795" max="1795" width="10.712962962963" style="26" customWidth="1"/>
    <col min="1796" max="1796" width="11.287037037037" style="26" customWidth="1"/>
    <col min="1797" max="1797" width="9" style="26" hidden="1" customWidth="1"/>
    <col min="1798" max="1813" width="2.85185185185185" style="26" customWidth="1"/>
    <col min="1814" max="2048" width="9" style="26"/>
    <col min="2049" max="2049" width="8.13888888888889" style="26" customWidth="1"/>
    <col min="2050" max="2050" width="13.287037037037" style="26" customWidth="1"/>
    <col min="2051" max="2051" width="10.712962962963" style="26" customWidth="1"/>
    <col min="2052" max="2052" width="11.287037037037" style="26" customWidth="1"/>
    <col min="2053" max="2053" width="9" style="26" hidden="1" customWidth="1"/>
    <col min="2054" max="2069" width="2.85185185185185" style="26" customWidth="1"/>
    <col min="2070" max="2304" width="9" style="26"/>
    <col min="2305" max="2305" width="8.13888888888889" style="26" customWidth="1"/>
    <col min="2306" max="2306" width="13.287037037037" style="26" customWidth="1"/>
    <col min="2307" max="2307" width="10.712962962963" style="26" customWidth="1"/>
    <col min="2308" max="2308" width="11.287037037037" style="26" customWidth="1"/>
    <col min="2309" max="2309" width="9" style="26" hidden="1" customWidth="1"/>
    <col min="2310" max="2325" width="2.85185185185185" style="26" customWidth="1"/>
    <col min="2326" max="2560" width="9" style="26"/>
    <col min="2561" max="2561" width="8.13888888888889" style="26" customWidth="1"/>
    <col min="2562" max="2562" width="13.287037037037" style="26" customWidth="1"/>
    <col min="2563" max="2563" width="10.712962962963" style="26" customWidth="1"/>
    <col min="2564" max="2564" width="11.287037037037" style="26" customWidth="1"/>
    <col min="2565" max="2565" width="9" style="26" hidden="1" customWidth="1"/>
    <col min="2566" max="2581" width="2.85185185185185" style="26" customWidth="1"/>
    <col min="2582" max="2816" width="9" style="26"/>
    <col min="2817" max="2817" width="8.13888888888889" style="26" customWidth="1"/>
    <col min="2818" max="2818" width="13.287037037037" style="26" customWidth="1"/>
    <col min="2819" max="2819" width="10.712962962963" style="26" customWidth="1"/>
    <col min="2820" max="2820" width="11.287037037037" style="26" customWidth="1"/>
    <col min="2821" max="2821" width="9" style="26" hidden="1" customWidth="1"/>
    <col min="2822" max="2837" width="2.85185185185185" style="26" customWidth="1"/>
    <col min="2838" max="3072" width="9" style="26"/>
    <col min="3073" max="3073" width="8.13888888888889" style="26" customWidth="1"/>
    <col min="3074" max="3074" width="13.287037037037" style="26" customWidth="1"/>
    <col min="3075" max="3075" width="10.712962962963" style="26" customWidth="1"/>
    <col min="3076" max="3076" width="11.287037037037" style="26" customWidth="1"/>
    <col min="3077" max="3077" width="9" style="26" hidden="1" customWidth="1"/>
    <col min="3078" max="3093" width="2.85185185185185" style="26" customWidth="1"/>
    <col min="3094" max="3328" width="9" style="26"/>
    <col min="3329" max="3329" width="8.13888888888889" style="26" customWidth="1"/>
    <col min="3330" max="3330" width="13.287037037037" style="26" customWidth="1"/>
    <col min="3331" max="3331" width="10.712962962963" style="26" customWidth="1"/>
    <col min="3332" max="3332" width="11.287037037037" style="26" customWidth="1"/>
    <col min="3333" max="3333" width="9" style="26" hidden="1" customWidth="1"/>
    <col min="3334" max="3349" width="2.85185185185185" style="26" customWidth="1"/>
    <col min="3350" max="3584" width="9" style="26"/>
    <col min="3585" max="3585" width="8.13888888888889" style="26" customWidth="1"/>
    <col min="3586" max="3586" width="13.287037037037" style="26" customWidth="1"/>
    <col min="3587" max="3587" width="10.712962962963" style="26" customWidth="1"/>
    <col min="3588" max="3588" width="11.287037037037" style="26" customWidth="1"/>
    <col min="3589" max="3589" width="9" style="26" hidden="1" customWidth="1"/>
    <col min="3590" max="3605" width="2.85185185185185" style="26" customWidth="1"/>
    <col min="3606" max="3840" width="9" style="26"/>
    <col min="3841" max="3841" width="8.13888888888889" style="26" customWidth="1"/>
    <col min="3842" max="3842" width="13.287037037037" style="26" customWidth="1"/>
    <col min="3843" max="3843" width="10.712962962963" style="26" customWidth="1"/>
    <col min="3844" max="3844" width="11.287037037037" style="26" customWidth="1"/>
    <col min="3845" max="3845" width="9" style="26" hidden="1" customWidth="1"/>
    <col min="3846" max="3861" width="2.85185185185185" style="26" customWidth="1"/>
    <col min="3862" max="4096" width="9" style="26"/>
    <col min="4097" max="4097" width="8.13888888888889" style="26" customWidth="1"/>
    <col min="4098" max="4098" width="13.287037037037" style="26" customWidth="1"/>
    <col min="4099" max="4099" width="10.712962962963" style="26" customWidth="1"/>
    <col min="4100" max="4100" width="11.287037037037" style="26" customWidth="1"/>
    <col min="4101" max="4101" width="9" style="26" hidden="1" customWidth="1"/>
    <col min="4102" max="4117" width="2.85185185185185" style="26" customWidth="1"/>
    <col min="4118" max="4352" width="9" style="26"/>
    <col min="4353" max="4353" width="8.13888888888889" style="26" customWidth="1"/>
    <col min="4354" max="4354" width="13.287037037037" style="26" customWidth="1"/>
    <col min="4355" max="4355" width="10.712962962963" style="26" customWidth="1"/>
    <col min="4356" max="4356" width="11.287037037037" style="26" customWidth="1"/>
    <col min="4357" max="4357" width="9" style="26" hidden="1" customWidth="1"/>
    <col min="4358" max="4373" width="2.85185185185185" style="26" customWidth="1"/>
    <col min="4374" max="4608" width="9" style="26"/>
    <col min="4609" max="4609" width="8.13888888888889" style="26" customWidth="1"/>
    <col min="4610" max="4610" width="13.287037037037" style="26" customWidth="1"/>
    <col min="4611" max="4611" width="10.712962962963" style="26" customWidth="1"/>
    <col min="4612" max="4612" width="11.287037037037" style="26" customWidth="1"/>
    <col min="4613" max="4613" width="9" style="26" hidden="1" customWidth="1"/>
    <col min="4614" max="4629" width="2.85185185185185" style="26" customWidth="1"/>
    <col min="4630" max="4864" width="9" style="26"/>
    <col min="4865" max="4865" width="8.13888888888889" style="26" customWidth="1"/>
    <col min="4866" max="4866" width="13.287037037037" style="26" customWidth="1"/>
    <col min="4867" max="4867" width="10.712962962963" style="26" customWidth="1"/>
    <col min="4868" max="4868" width="11.287037037037" style="26" customWidth="1"/>
    <col min="4869" max="4869" width="9" style="26" hidden="1" customWidth="1"/>
    <col min="4870" max="4885" width="2.85185185185185" style="26" customWidth="1"/>
    <col min="4886" max="5120" width="9" style="26"/>
    <col min="5121" max="5121" width="8.13888888888889" style="26" customWidth="1"/>
    <col min="5122" max="5122" width="13.287037037037" style="26" customWidth="1"/>
    <col min="5123" max="5123" width="10.712962962963" style="26" customWidth="1"/>
    <col min="5124" max="5124" width="11.287037037037" style="26" customWidth="1"/>
    <col min="5125" max="5125" width="9" style="26" hidden="1" customWidth="1"/>
    <col min="5126" max="5141" width="2.85185185185185" style="26" customWidth="1"/>
    <col min="5142" max="5376" width="9" style="26"/>
    <col min="5377" max="5377" width="8.13888888888889" style="26" customWidth="1"/>
    <col min="5378" max="5378" width="13.287037037037" style="26" customWidth="1"/>
    <col min="5379" max="5379" width="10.712962962963" style="26" customWidth="1"/>
    <col min="5380" max="5380" width="11.287037037037" style="26" customWidth="1"/>
    <col min="5381" max="5381" width="9" style="26" hidden="1" customWidth="1"/>
    <col min="5382" max="5397" width="2.85185185185185" style="26" customWidth="1"/>
    <col min="5398" max="5632" width="9" style="26"/>
    <col min="5633" max="5633" width="8.13888888888889" style="26" customWidth="1"/>
    <col min="5634" max="5634" width="13.287037037037" style="26" customWidth="1"/>
    <col min="5635" max="5635" width="10.712962962963" style="26" customWidth="1"/>
    <col min="5636" max="5636" width="11.287037037037" style="26" customWidth="1"/>
    <col min="5637" max="5637" width="9" style="26" hidden="1" customWidth="1"/>
    <col min="5638" max="5653" width="2.85185185185185" style="26" customWidth="1"/>
    <col min="5654" max="5888" width="9" style="26"/>
    <col min="5889" max="5889" width="8.13888888888889" style="26" customWidth="1"/>
    <col min="5890" max="5890" width="13.287037037037" style="26" customWidth="1"/>
    <col min="5891" max="5891" width="10.712962962963" style="26" customWidth="1"/>
    <col min="5892" max="5892" width="11.287037037037" style="26" customWidth="1"/>
    <col min="5893" max="5893" width="9" style="26" hidden="1" customWidth="1"/>
    <col min="5894" max="5909" width="2.85185185185185" style="26" customWidth="1"/>
    <col min="5910" max="6144" width="9" style="26"/>
    <col min="6145" max="6145" width="8.13888888888889" style="26" customWidth="1"/>
    <col min="6146" max="6146" width="13.287037037037" style="26" customWidth="1"/>
    <col min="6147" max="6147" width="10.712962962963" style="26" customWidth="1"/>
    <col min="6148" max="6148" width="11.287037037037" style="26" customWidth="1"/>
    <col min="6149" max="6149" width="9" style="26" hidden="1" customWidth="1"/>
    <col min="6150" max="6165" width="2.85185185185185" style="26" customWidth="1"/>
    <col min="6166" max="6400" width="9" style="26"/>
    <col min="6401" max="6401" width="8.13888888888889" style="26" customWidth="1"/>
    <col min="6402" max="6402" width="13.287037037037" style="26" customWidth="1"/>
    <col min="6403" max="6403" width="10.712962962963" style="26" customWidth="1"/>
    <col min="6404" max="6404" width="11.287037037037" style="26" customWidth="1"/>
    <col min="6405" max="6405" width="9" style="26" hidden="1" customWidth="1"/>
    <col min="6406" max="6421" width="2.85185185185185" style="26" customWidth="1"/>
    <col min="6422" max="6656" width="9" style="26"/>
    <col min="6657" max="6657" width="8.13888888888889" style="26" customWidth="1"/>
    <col min="6658" max="6658" width="13.287037037037" style="26" customWidth="1"/>
    <col min="6659" max="6659" width="10.712962962963" style="26" customWidth="1"/>
    <col min="6660" max="6660" width="11.287037037037" style="26" customWidth="1"/>
    <col min="6661" max="6661" width="9" style="26" hidden="1" customWidth="1"/>
    <col min="6662" max="6677" width="2.85185185185185" style="26" customWidth="1"/>
    <col min="6678" max="6912" width="9" style="26"/>
    <col min="6913" max="6913" width="8.13888888888889" style="26" customWidth="1"/>
    <col min="6914" max="6914" width="13.287037037037" style="26" customWidth="1"/>
    <col min="6915" max="6915" width="10.712962962963" style="26" customWidth="1"/>
    <col min="6916" max="6916" width="11.287037037037" style="26" customWidth="1"/>
    <col min="6917" max="6917" width="9" style="26" hidden="1" customWidth="1"/>
    <col min="6918" max="6933" width="2.85185185185185" style="26" customWidth="1"/>
    <col min="6934" max="7168" width="9" style="26"/>
    <col min="7169" max="7169" width="8.13888888888889" style="26" customWidth="1"/>
    <col min="7170" max="7170" width="13.287037037037" style="26" customWidth="1"/>
    <col min="7171" max="7171" width="10.712962962963" style="26" customWidth="1"/>
    <col min="7172" max="7172" width="11.287037037037" style="26" customWidth="1"/>
    <col min="7173" max="7173" width="9" style="26" hidden="1" customWidth="1"/>
    <col min="7174" max="7189" width="2.85185185185185" style="26" customWidth="1"/>
    <col min="7190" max="7424" width="9" style="26"/>
    <col min="7425" max="7425" width="8.13888888888889" style="26" customWidth="1"/>
    <col min="7426" max="7426" width="13.287037037037" style="26" customWidth="1"/>
    <col min="7427" max="7427" width="10.712962962963" style="26" customWidth="1"/>
    <col min="7428" max="7428" width="11.287037037037" style="26" customWidth="1"/>
    <col min="7429" max="7429" width="9" style="26" hidden="1" customWidth="1"/>
    <col min="7430" max="7445" width="2.85185185185185" style="26" customWidth="1"/>
    <col min="7446" max="7680" width="9" style="26"/>
    <col min="7681" max="7681" width="8.13888888888889" style="26" customWidth="1"/>
    <col min="7682" max="7682" width="13.287037037037" style="26" customWidth="1"/>
    <col min="7683" max="7683" width="10.712962962963" style="26" customWidth="1"/>
    <col min="7684" max="7684" width="11.287037037037" style="26" customWidth="1"/>
    <col min="7685" max="7685" width="9" style="26" hidden="1" customWidth="1"/>
    <col min="7686" max="7701" width="2.85185185185185" style="26" customWidth="1"/>
    <col min="7702" max="7936" width="9" style="26"/>
    <col min="7937" max="7937" width="8.13888888888889" style="26" customWidth="1"/>
    <col min="7938" max="7938" width="13.287037037037" style="26" customWidth="1"/>
    <col min="7939" max="7939" width="10.712962962963" style="26" customWidth="1"/>
    <col min="7940" max="7940" width="11.287037037037" style="26" customWidth="1"/>
    <col min="7941" max="7941" width="9" style="26" hidden="1" customWidth="1"/>
    <col min="7942" max="7957" width="2.85185185185185" style="26" customWidth="1"/>
    <col min="7958" max="8192" width="9" style="26"/>
    <col min="8193" max="8193" width="8.13888888888889" style="26" customWidth="1"/>
    <col min="8194" max="8194" width="13.287037037037" style="26" customWidth="1"/>
    <col min="8195" max="8195" width="10.712962962963" style="26" customWidth="1"/>
    <col min="8196" max="8196" width="11.287037037037" style="26" customWidth="1"/>
    <col min="8197" max="8197" width="9" style="26" hidden="1" customWidth="1"/>
    <col min="8198" max="8213" width="2.85185185185185" style="26" customWidth="1"/>
    <col min="8214" max="8448" width="9" style="26"/>
    <col min="8449" max="8449" width="8.13888888888889" style="26" customWidth="1"/>
    <col min="8450" max="8450" width="13.287037037037" style="26" customWidth="1"/>
    <col min="8451" max="8451" width="10.712962962963" style="26" customWidth="1"/>
    <col min="8452" max="8452" width="11.287037037037" style="26" customWidth="1"/>
    <col min="8453" max="8453" width="9" style="26" hidden="1" customWidth="1"/>
    <col min="8454" max="8469" width="2.85185185185185" style="26" customWidth="1"/>
    <col min="8470" max="8704" width="9" style="26"/>
    <col min="8705" max="8705" width="8.13888888888889" style="26" customWidth="1"/>
    <col min="8706" max="8706" width="13.287037037037" style="26" customWidth="1"/>
    <col min="8707" max="8707" width="10.712962962963" style="26" customWidth="1"/>
    <col min="8708" max="8708" width="11.287037037037" style="26" customWidth="1"/>
    <col min="8709" max="8709" width="9" style="26" hidden="1" customWidth="1"/>
    <col min="8710" max="8725" width="2.85185185185185" style="26" customWidth="1"/>
    <col min="8726" max="8960" width="9" style="26"/>
    <col min="8961" max="8961" width="8.13888888888889" style="26" customWidth="1"/>
    <col min="8962" max="8962" width="13.287037037037" style="26" customWidth="1"/>
    <col min="8963" max="8963" width="10.712962962963" style="26" customWidth="1"/>
    <col min="8964" max="8964" width="11.287037037037" style="26" customWidth="1"/>
    <col min="8965" max="8965" width="9" style="26" hidden="1" customWidth="1"/>
    <col min="8966" max="8981" width="2.85185185185185" style="26" customWidth="1"/>
    <col min="8982" max="9216" width="9" style="26"/>
    <col min="9217" max="9217" width="8.13888888888889" style="26" customWidth="1"/>
    <col min="9218" max="9218" width="13.287037037037" style="26" customWidth="1"/>
    <col min="9219" max="9219" width="10.712962962963" style="26" customWidth="1"/>
    <col min="9220" max="9220" width="11.287037037037" style="26" customWidth="1"/>
    <col min="9221" max="9221" width="9" style="26" hidden="1" customWidth="1"/>
    <col min="9222" max="9237" width="2.85185185185185" style="26" customWidth="1"/>
    <col min="9238" max="9472" width="9" style="26"/>
    <col min="9473" max="9473" width="8.13888888888889" style="26" customWidth="1"/>
    <col min="9474" max="9474" width="13.287037037037" style="26" customWidth="1"/>
    <col min="9475" max="9475" width="10.712962962963" style="26" customWidth="1"/>
    <col min="9476" max="9476" width="11.287037037037" style="26" customWidth="1"/>
    <col min="9477" max="9477" width="9" style="26" hidden="1" customWidth="1"/>
    <col min="9478" max="9493" width="2.85185185185185" style="26" customWidth="1"/>
    <col min="9494" max="9728" width="9" style="26"/>
    <col min="9729" max="9729" width="8.13888888888889" style="26" customWidth="1"/>
    <col min="9730" max="9730" width="13.287037037037" style="26" customWidth="1"/>
    <col min="9731" max="9731" width="10.712962962963" style="26" customWidth="1"/>
    <col min="9732" max="9732" width="11.287037037037" style="26" customWidth="1"/>
    <col min="9733" max="9733" width="9" style="26" hidden="1" customWidth="1"/>
    <col min="9734" max="9749" width="2.85185185185185" style="26" customWidth="1"/>
    <col min="9750" max="9984" width="9" style="26"/>
    <col min="9985" max="9985" width="8.13888888888889" style="26" customWidth="1"/>
    <col min="9986" max="9986" width="13.287037037037" style="26" customWidth="1"/>
    <col min="9987" max="9987" width="10.712962962963" style="26" customWidth="1"/>
    <col min="9988" max="9988" width="11.287037037037" style="26" customWidth="1"/>
    <col min="9989" max="9989" width="9" style="26" hidden="1" customWidth="1"/>
    <col min="9990" max="10005" width="2.85185185185185" style="26" customWidth="1"/>
    <col min="10006" max="10240" width="9" style="26"/>
    <col min="10241" max="10241" width="8.13888888888889" style="26" customWidth="1"/>
    <col min="10242" max="10242" width="13.287037037037" style="26" customWidth="1"/>
    <col min="10243" max="10243" width="10.712962962963" style="26" customWidth="1"/>
    <col min="10244" max="10244" width="11.287037037037" style="26" customWidth="1"/>
    <col min="10245" max="10245" width="9" style="26" hidden="1" customWidth="1"/>
    <col min="10246" max="10261" width="2.85185185185185" style="26" customWidth="1"/>
    <col min="10262" max="10496" width="9" style="26"/>
    <col min="10497" max="10497" width="8.13888888888889" style="26" customWidth="1"/>
    <col min="10498" max="10498" width="13.287037037037" style="26" customWidth="1"/>
    <col min="10499" max="10499" width="10.712962962963" style="26" customWidth="1"/>
    <col min="10500" max="10500" width="11.287037037037" style="26" customWidth="1"/>
    <col min="10501" max="10501" width="9" style="26" hidden="1" customWidth="1"/>
    <col min="10502" max="10517" width="2.85185185185185" style="26" customWidth="1"/>
    <col min="10518" max="10752" width="9" style="26"/>
    <col min="10753" max="10753" width="8.13888888888889" style="26" customWidth="1"/>
    <col min="10754" max="10754" width="13.287037037037" style="26" customWidth="1"/>
    <col min="10755" max="10755" width="10.712962962963" style="26" customWidth="1"/>
    <col min="10756" max="10756" width="11.287037037037" style="26" customWidth="1"/>
    <col min="10757" max="10757" width="9" style="26" hidden="1" customWidth="1"/>
    <col min="10758" max="10773" width="2.85185185185185" style="26" customWidth="1"/>
    <col min="10774" max="11008" width="9" style="26"/>
    <col min="11009" max="11009" width="8.13888888888889" style="26" customWidth="1"/>
    <col min="11010" max="11010" width="13.287037037037" style="26" customWidth="1"/>
    <col min="11011" max="11011" width="10.712962962963" style="26" customWidth="1"/>
    <col min="11012" max="11012" width="11.287037037037" style="26" customWidth="1"/>
    <col min="11013" max="11013" width="9" style="26" hidden="1" customWidth="1"/>
    <col min="11014" max="11029" width="2.85185185185185" style="26" customWidth="1"/>
    <col min="11030" max="11264" width="9" style="26"/>
    <col min="11265" max="11265" width="8.13888888888889" style="26" customWidth="1"/>
    <col min="11266" max="11266" width="13.287037037037" style="26" customWidth="1"/>
    <col min="11267" max="11267" width="10.712962962963" style="26" customWidth="1"/>
    <col min="11268" max="11268" width="11.287037037037" style="26" customWidth="1"/>
    <col min="11269" max="11269" width="9" style="26" hidden="1" customWidth="1"/>
    <col min="11270" max="11285" width="2.85185185185185" style="26" customWidth="1"/>
    <col min="11286" max="11520" width="9" style="26"/>
    <col min="11521" max="11521" width="8.13888888888889" style="26" customWidth="1"/>
    <col min="11522" max="11522" width="13.287037037037" style="26" customWidth="1"/>
    <col min="11523" max="11523" width="10.712962962963" style="26" customWidth="1"/>
    <col min="11524" max="11524" width="11.287037037037" style="26" customWidth="1"/>
    <col min="11525" max="11525" width="9" style="26" hidden="1" customWidth="1"/>
    <col min="11526" max="11541" width="2.85185185185185" style="26" customWidth="1"/>
    <col min="11542" max="11776" width="9" style="26"/>
    <col min="11777" max="11777" width="8.13888888888889" style="26" customWidth="1"/>
    <col min="11778" max="11778" width="13.287037037037" style="26" customWidth="1"/>
    <col min="11779" max="11779" width="10.712962962963" style="26" customWidth="1"/>
    <col min="11780" max="11780" width="11.287037037037" style="26" customWidth="1"/>
    <col min="11781" max="11781" width="9" style="26" hidden="1" customWidth="1"/>
    <col min="11782" max="11797" width="2.85185185185185" style="26" customWidth="1"/>
    <col min="11798" max="12032" width="9" style="26"/>
    <col min="12033" max="12033" width="8.13888888888889" style="26" customWidth="1"/>
    <col min="12034" max="12034" width="13.287037037037" style="26" customWidth="1"/>
    <col min="12035" max="12035" width="10.712962962963" style="26" customWidth="1"/>
    <col min="12036" max="12036" width="11.287037037037" style="26" customWidth="1"/>
    <col min="12037" max="12037" width="9" style="26" hidden="1" customWidth="1"/>
    <col min="12038" max="12053" width="2.85185185185185" style="26" customWidth="1"/>
    <col min="12054" max="12288" width="9" style="26"/>
    <col min="12289" max="12289" width="8.13888888888889" style="26" customWidth="1"/>
    <col min="12290" max="12290" width="13.287037037037" style="26" customWidth="1"/>
    <col min="12291" max="12291" width="10.712962962963" style="26" customWidth="1"/>
    <col min="12292" max="12292" width="11.287037037037" style="26" customWidth="1"/>
    <col min="12293" max="12293" width="9" style="26" hidden="1" customWidth="1"/>
    <col min="12294" max="12309" width="2.85185185185185" style="26" customWidth="1"/>
    <col min="12310" max="12544" width="9" style="26"/>
    <col min="12545" max="12545" width="8.13888888888889" style="26" customWidth="1"/>
    <col min="12546" max="12546" width="13.287037037037" style="26" customWidth="1"/>
    <col min="12547" max="12547" width="10.712962962963" style="26" customWidth="1"/>
    <col min="12548" max="12548" width="11.287037037037" style="26" customWidth="1"/>
    <col min="12549" max="12549" width="9" style="26" hidden="1" customWidth="1"/>
    <col min="12550" max="12565" width="2.85185185185185" style="26" customWidth="1"/>
    <col min="12566" max="12800" width="9" style="26"/>
    <col min="12801" max="12801" width="8.13888888888889" style="26" customWidth="1"/>
    <col min="12802" max="12802" width="13.287037037037" style="26" customWidth="1"/>
    <col min="12803" max="12803" width="10.712962962963" style="26" customWidth="1"/>
    <col min="12804" max="12804" width="11.287037037037" style="26" customWidth="1"/>
    <col min="12805" max="12805" width="9" style="26" hidden="1" customWidth="1"/>
    <col min="12806" max="12821" width="2.85185185185185" style="26" customWidth="1"/>
    <col min="12822" max="13056" width="9" style="26"/>
    <col min="13057" max="13057" width="8.13888888888889" style="26" customWidth="1"/>
    <col min="13058" max="13058" width="13.287037037037" style="26" customWidth="1"/>
    <col min="13059" max="13059" width="10.712962962963" style="26" customWidth="1"/>
    <col min="13060" max="13060" width="11.287037037037" style="26" customWidth="1"/>
    <col min="13061" max="13061" width="9" style="26" hidden="1" customWidth="1"/>
    <col min="13062" max="13077" width="2.85185185185185" style="26" customWidth="1"/>
    <col min="13078" max="13312" width="9" style="26"/>
    <col min="13313" max="13313" width="8.13888888888889" style="26" customWidth="1"/>
    <col min="13314" max="13314" width="13.287037037037" style="26" customWidth="1"/>
    <col min="13315" max="13315" width="10.712962962963" style="26" customWidth="1"/>
    <col min="13316" max="13316" width="11.287037037037" style="26" customWidth="1"/>
    <col min="13317" max="13317" width="9" style="26" hidden="1" customWidth="1"/>
    <col min="13318" max="13333" width="2.85185185185185" style="26" customWidth="1"/>
    <col min="13334" max="13568" width="9" style="26"/>
    <col min="13569" max="13569" width="8.13888888888889" style="26" customWidth="1"/>
    <col min="13570" max="13570" width="13.287037037037" style="26" customWidth="1"/>
    <col min="13571" max="13571" width="10.712962962963" style="26" customWidth="1"/>
    <col min="13572" max="13572" width="11.287037037037" style="26" customWidth="1"/>
    <col min="13573" max="13573" width="9" style="26" hidden="1" customWidth="1"/>
    <col min="13574" max="13589" width="2.85185185185185" style="26" customWidth="1"/>
    <col min="13590" max="13824" width="9" style="26"/>
    <col min="13825" max="13825" width="8.13888888888889" style="26" customWidth="1"/>
    <col min="13826" max="13826" width="13.287037037037" style="26" customWidth="1"/>
    <col min="13827" max="13827" width="10.712962962963" style="26" customWidth="1"/>
    <col min="13828" max="13828" width="11.287037037037" style="26" customWidth="1"/>
    <col min="13829" max="13829" width="9" style="26" hidden="1" customWidth="1"/>
    <col min="13830" max="13845" width="2.85185185185185" style="26" customWidth="1"/>
    <col min="13846" max="14080" width="9" style="26"/>
    <col min="14081" max="14081" width="8.13888888888889" style="26" customWidth="1"/>
    <col min="14082" max="14082" width="13.287037037037" style="26" customWidth="1"/>
    <col min="14083" max="14083" width="10.712962962963" style="26" customWidth="1"/>
    <col min="14084" max="14084" width="11.287037037037" style="26" customWidth="1"/>
    <col min="14085" max="14085" width="9" style="26" hidden="1" customWidth="1"/>
    <col min="14086" max="14101" width="2.85185185185185" style="26" customWidth="1"/>
    <col min="14102" max="14336" width="9" style="26"/>
    <col min="14337" max="14337" width="8.13888888888889" style="26" customWidth="1"/>
    <col min="14338" max="14338" width="13.287037037037" style="26" customWidth="1"/>
    <col min="14339" max="14339" width="10.712962962963" style="26" customWidth="1"/>
    <col min="14340" max="14340" width="11.287037037037" style="26" customWidth="1"/>
    <col min="14341" max="14341" width="9" style="26" hidden="1" customWidth="1"/>
    <col min="14342" max="14357" width="2.85185185185185" style="26" customWidth="1"/>
    <col min="14358" max="14592" width="9" style="26"/>
    <col min="14593" max="14593" width="8.13888888888889" style="26" customWidth="1"/>
    <col min="14594" max="14594" width="13.287037037037" style="26" customWidth="1"/>
    <col min="14595" max="14595" width="10.712962962963" style="26" customWidth="1"/>
    <col min="14596" max="14596" width="11.287037037037" style="26" customWidth="1"/>
    <col min="14597" max="14597" width="9" style="26" hidden="1" customWidth="1"/>
    <col min="14598" max="14613" width="2.85185185185185" style="26" customWidth="1"/>
    <col min="14614" max="14848" width="9" style="26"/>
    <col min="14849" max="14849" width="8.13888888888889" style="26" customWidth="1"/>
    <col min="14850" max="14850" width="13.287037037037" style="26" customWidth="1"/>
    <col min="14851" max="14851" width="10.712962962963" style="26" customWidth="1"/>
    <col min="14852" max="14852" width="11.287037037037" style="26" customWidth="1"/>
    <col min="14853" max="14853" width="9" style="26" hidden="1" customWidth="1"/>
    <col min="14854" max="14869" width="2.85185185185185" style="26" customWidth="1"/>
    <col min="14870" max="15104" width="9" style="26"/>
    <col min="15105" max="15105" width="8.13888888888889" style="26" customWidth="1"/>
    <col min="15106" max="15106" width="13.287037037037" style="26" customWidth="1"/>
    <col min="15107" max="15107" width="10.712962962963" style="26" customWidth="1"/>
    <col min="15108" max="15108" width="11.287037037037" style="26" customWidth="1"/>
    <col min="15109" max="15109" width="9" style="26" hidden="1" customWidth="1"/>
    <col min="15110" max="15125" width="2.85185185185185" style="26" customWidth="1"/>
    <col min="15126" max="15360" width="9" style="26"/>
    <col min="15361" max="15361" width="8.13888888888889" style="26" customWidth="1"/>
    <col min="15362" max="15362" width="13.287037037037" style="26" customWidth="1"/>
    <col min="15363" max="15363" width="10.712962962963" style="26" customWidth="1"/>
    <col min="15364" max="15364" width="11.287037037037" style="26" customWidth="1"/>
    <col min="15365" max="15365" width="9" style="26" hidden="1" customWidth="1"/>
    <col min="15366" max="15381" width="2.85185185185185" style="26" customWidth="1"/>
    <col min="15382" max="15616" width="9" style="26"/>
    <col min="15617" max="15617" width="8.13888888888889" style="26" customWidth="1"/>
    <col min="15618" max="15618" width="13.287037037037" style="26" customWidth="1"/>
    <col min="15619" max="15619" width="10.712962962963" style="26" customWidth="1"/>
    <col min="15620" max="15620" width="11.287037037037" style="26" customWidth="1"/>
    <col min="15621" max="15621" width="9" style="26" hidden="1" customWidth="1"/>
    <col min="15622" max="15637" width="2.85185185185185" style="26" customWidth="1"/>
    <col min="15638" max="15872" width="9" style="26"/>
    <col min="15873" max="15873" width="8.13888888888889" style="26" customWidth="1"/>
    <col min="15874" max="15874" width="13.287037037037" style="26" customWidth="1"/>
    <col min="15875" max="15875" width="10.712962962963" style="26" customWidth="1"/>
    <col min="15876" max="15876" width="11.287037037037" style="26" customWidth="1"/>
    <col min="15877" max="15877" width="9" style="26" hidden="1" customWidth="1"/>
    <col min="15878" max="15893" width="2.85185185185185" style="26" customWidth="1"/>
    <col min="15894" max="16128" width="9" style="26"/>
    <col min="16129" max="16129" width="8.13888888888889" style="26" customWidth="1"/>
    <col min="16130" max="16130" width="13.287037037037" style="26" customWidth="1"/>
    <col min="16131" max="16131" width="10.712962962963" style="26" customWidth="1"/>
    <col min="16132" max="16132" width="11.287037037037" style="26" customWidth="1"/>
    <col min="16133" max="16133" width="9" style="26" hidden="1" customWidth="1"/>
    <col min="16134" max="16149" width="2.85185185185185" style="26" customWidth="1"/>
    <col min="16150" max="16384" width="9" style="26"/>
  </cols>
  <sheetData>
    <row r="1" ht="13.5" customHeight="1" spans="1:20">
      <c r="A1" s="30" t="s">
        <v>19</v>
      </c>
      <c r="B1" s="31"/>
      <c r="C1" s="32" t="s">
        <v>20</v>
      </c>
      <c r="D1" s="33"/>
      <c r="E1" s="34"/>
      <c r="F1" s="35" t="s">
        <v>21</v>
      </c>
      <c r="G1" s="36"/>
      <c r="H1" s="36"/>
      <c r="I1" s="36"/>
      <c r="J1" s="36"/>
      <c r="K1" s="36"/>
      <c r="L1" s="133" t="s">
        <v>20</v>
      </c>
      <c r="M1" s="134"/>
      <c r="N1" s="134"/>
      <c r="O1" s="134"/>
      <c r="P1" s="134"/>
      <c r="Q1" s="134"/>
      <c r="R1" s="134"/>
      <c r="S1" s="134"/>
      <c r="T1" s="145"/>
    </row>
    <row r="2" ht="13.5" customHeight="1" spans="1:20">
      <c r="A2" s="37" t="s">
        <v>22</v>
      </c>
      <c r="B2" s="38"/>
      <c r="C2" s="39" t="s">
        <v>23</v>
      </c>
      <c r="D2" s="40"/>
      <c r="E2" s="41"/>
      <c r="F2" s="42" t="s">
        <v>24</v>
      </c>
      <c r="G2" s="43"/>
      <c r="H2" s="43"/>
      <c r="I2" s="43"/>
      <c r="J2" s="43"/>
      <c r="K2" s="135"/>
      <c r="L2" s="40"/>
      <c r="M2" s="40"/>
      <c r="N2" s="40"/>
      <c r="O2" s="136"/>
      <c r="P2" s="136"/>
      <c r="Q2" s="136"/>
      <c r="R2" s="136"/>
      <c r="S2" s="136"/>
      <c r="T2" s="146"/>
    </row>
    <row r="3" ht="13.5" customHeight="1" spans="1:20">
      <c r="A3" s="37" t="s">
        <v>25</v>
      </c>
      <c r="B3" s="38"/>
      <c r="C3" s="44">
        <v>21</v>
      </c>
      <c r="D3" s="45"/>
      <c r="E3" s="46"/>
      <c r="F3" s="42" t="s">
        <v>26</v>
      </c>
      <c r="G3" s="43"/>
      <c r="H3" s="43"/>
      <c r="I3" s="43"/>
      <c r="J3" s="43"/>
      <c r="K3" s="135"/>
      <c r="L3" s="137">
        <v>-1</v>
      </c>
      <c r="M3" s="138"/>
      <c r="N3" s="138"/>
      <c r="O3" s="138"/>
      <c r="P3" s="138"/>
      <c r="Q3" s="138"/>
      <c r="R3" s="138"/>
      <c r="S3" s="138"/>
      <c r="T3" s="147"/>
    </row>
    <row r="4" ht="13.5" customHeight="1" spans="1:20">
      <c r="A4" s="37" t="s">
        <v>27</v>
      </c>
      <c r="B4" s="38"/>
      <c r="C4" s="47" t="s">
        <v>28</v>
      </c>
      <c r="D4" s="47"/>
      <c r="E4" s="47"/>
      <c r="F4" s="48"/>
      <c r="G4" s="48"/>
      <c r="H4" s="48"/>
      <c r="I4" s="48"/>
      <c r="J4" s="48"/>
      <c r="K4" s="48"/>
      <c r="L4" s="47"/>
      <c r="M4" s="47"/>
      <c r="N4" s="47"/>
      <c r="O4" s="47"/>
      <c r="P4" s="47"/>
      <c r="Q4" s="47"/>
      <c r="R4" s="47"/>
      <c r="S4" s="47"/>
      <c r="T4" s="47"/>
    </row>
    <row r="5" ht="13.5" customHeight="1" spans="1:20">
      <c r="A5" s="49" t="s">
        <v>29</v>
      </c>
      <c r="B5" s="50"/>
      <c r="C5" s="51" t="s">
        <v>30</v>
      </c>
      <c r="D5" s="52"/>
      <c r="E5" s="53"/>
      <c r="F5" s="51" t="s">
        <v>31</v>
      </c>
      <c r="G5" s="52"/>
      <c r="H5" s="52"/>
      <c r="I5" s="52"/>
      <c r="J5" s="52"/>
      <c r="K5" s="139"/>
      <c r="L5" s="52" t="s">
        <v>32</v>
      </c>
      <c r="M5" s="52"/>
      <c r="N5" s="52"/>
      <c r="O5" s="140" t="s">
        <v>33</v>
      </c>
      <c r="P5" s="52"/>
      <c r="Q5" s="52"/>
      <c r="R5" s="52"/>
      <c r="S5" s="52"/>
      <c r="T5" s="148"/>
    </row>
    <row r="6" ht="13.5" customHeight="1" spans="1:21">
      <c r="A6" s="54">
        <f>COUNTIF(F40:HQ40,"P")</f>
        <v>0</v>
      </c>
      <c r="B6" s="55"/>
      <c r="C6" s="56">
        <f>COUNTIF(F40:HQ40,"F")</f>
        <v>0</v>
      </c>
      <c r="D6" s="57"/>
      <c r="E6" s="55"/>
      <c r="F6" s="56">
        <f>SUM(O6,-A6,-C6)</f>
        <v>3</v>
      </c>
      <c r="G6" s="57"/>
      <c r="H6" s="57"/>
      <c r="I6" s="57"/>
      <c r="J6" s="57"/>
      <c r="K6" s="141"/>
      <c r="L6" s="142">
        <f>COUNTIF(E39:HQ39,"N")</f>
        <v>3</v>
      </c>
      <c r="M6" s="142">
        <f>COUNTIF(E39:HQ39,"A")</f>
        <v>1</v>
      </c>
      <c r="N6" s="142">
        <f>COUNTIF(E39:HQ39,"B")</f>
        <v>0</v>
      </c>
      <c r="O6" s="142">
        <f>COUNTA(E8:HT8)</f>
        <v>3</v>
      </c>
      <c r="P6" s="57"/>
      <c r="Q6" s="57"/>
      <c r="R6" s="57"/>
      <c r="S6" s="57"/>
      <c r="T6" s="149"/>
      <c r="U6" s="150"/>
    </row>
    <row r="7" ht="10.95"/>
    <row r="8" ht="46.5" customHeight="1" spans="1:22">
      <c r="A8" s="58"/>
      <c r="B8" s="59"/>
      <c r="C8" s="59"/>
      <c r="D8" s="59"/>
      <c r="E8" s="60"/>
      <c r="F8" s="61" t="s">
        <v>34</v>
      </c>
      <c r="G8" s="61" t="s">
        <v>35</v>
      </c>
      <c r="H8" s="61" t="s">
        <v>36</v>
      </c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51"/>
      <c r="U8" s="24"/>
      <c r="V8" s="152"/>
    </row>
    <row r="9" ht="13.5" customHeight="1" spans="1:20">
      <c r="A9" s="62" t="s">
        <v>37</v>
      </c>
      <c r="B9" s="63" t="s">
        <v>38</v>
      </c>
      <c r="C9" s="64"/>
      <c r="D9" s="65"/>
      <c r="E9" s="66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153"/>
    </row>
    <row r="10" ht="13.5" customHeight="1" spans="1:22">
      <c r="A10" s="68"/>
      <c r="B10" s="69"/>
      <c r="C10" s="70"/>
      <c r="D10" s="71" t="s">
        <v>39</v>
      </c>
      <c r="E10" s="72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154"/>
      <c r="V10" s="152"/>
    </row>
    <row r="11" ht="13.5" customHeight="1" spans="1:20">
      <c r="A11" s="68"/>
      <c r="B11" s="69"/>
      <c r="C11" s="70"/>
      <c r="D11" s="71"/>
      <c r="E11" s="72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154"/>
    </row>
    <row r="12" ht="13.5" customHeight="1" spans="1:20">
      <c r="A12" s="68"/>
      <c r="B12" s="69" t="s">
        <v>40</v>
      </c>
      <c r="C12" s="70"/>
      <c r="D12" s="71"/>
      <c r="E12" s="74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154"/>
    </row>
    <row r="13" ht="15.6" customHeight="1" spans="1:20">
      <c r="A13" s="68"/>
      <c r="B13" s="69" t="s">
        <v>41</v>
      </c>
      <c r="C13" s="70"/>
      <c r="D13" s="71"/>
      <c r="E13" s="75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154"/>
    </row>
    <row r="14" ht="13.5" customHeight="1" spans="1:20">
      <c r="A14" s="68"/>
      <c r="B14" s="69"/>
      <c r="C14" s="70"/>
      <c r="D14" s="76" t="s">
        <v>42</v>
      </c>
      <c r="E14" s="75"/>
      <c r="F14" s="73" t="s">
        <v>43</v>
      </c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154"/>
    </row>
    <row r="15" ht="13.5" customHeight="1" spans="1:20">
      <c r="A15" s="68"/>
      <c r="B15" s="69"/>
      <c r="C15" s="70"/>
      <c r="D15" s="76" t="s">
        <v>44</v>
      </c>
      <c r="E15" s="75"/>
      <c r="F15" s="73"/>
      <c r="G15" s="73" t="s">
        <v>43</v>
      </c>
      <c r="H15" s="73"/>
      <c r="I15" s="73"/>
      <c r="J15" s="144"/>
      <c r="K15" s="73"/>
      <c r="L15" s="73"/>
      <c r="M15" s="73"/>
      <c r="N15" s="73"/>
      <c r="O15" s="73"/>
      <c r="P15" s="73"/>
      <c r="Q15" s="73"/>
      <c r="R15" s="73"/>
      <c r="S15" s="73"/>
      <c r="T15" s="154"/>
    </row>
    <row r="16" ht="12.75" customHeight="1" spans="1:20">
      <c r="A16" s="68"/>
      <c r="B16" s="69"/>
      <c r="C16" s="70"/>
      <c r="D16" s="76" t="s">
        <v>45</v>
      </c>
      <c r="E16" s="75"/>
      <c r="F16" s="73"/>
      <c r="G16" s="73"/>
      <c r="H16" s="73" t="s">
        <v>43</v>
      </c>
      <c r="I16" s="73" t="s">
        <v>43</v>
      </c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154"/>
    </row>
    <row r="17" ht="13.5" customHeight="1" spans="1:21">
      <c r="A17" s="68"/>
      <c r="B17" s="69" t="s">
        <v>46</v>
      </c>
      <c r="C17" s="70"/>
      <c r="D17" s="71"/>
      <c r="E17" s="75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154"/>
      <c r="U17" s="155"/>
    </row>
    <row r="18" ht="13.5" customHeight="1" spans="1:20">
      <c r="A18" s="68"/>
      <c r="B18" s="69"/>
      <c r="C18" s="70"/>
      <c r="D18" s="77">
        <v>6</v>
      </c>
      <c r="E18" s="78"/>
      <c r="F18" s="73" t="s">
        <v>43</v>
      </c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154"/>
    </row>
    <row r="19" ht="13.5" customHeight="1" spans="1:20">
      <c r="A19" s="68"/>
      <c r="B19" s="69"/>
      <c r="C19" s="70"/>
      <c r="D19" s="79">
        <v>8</v>
      </c>
      <c r="E19" s="80"/>
      <c r="F19" s="73"/>
      <c r="G19" s="73" t="s">
        <v>43</v>
      </c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154"/>
    </row>
    <row r="20" ht="13.5" customHeight="1" spans="1:20">
      <c r="A20" s="68"/>
      <c r="B20" s="69"/>
      <c r="C20" s="70"/>
      <c r="D20" s="28">
        <v>4.5</v>
      </c>
      <c r="E20" s="81"/>
      <c r="F20" s="73"/>
      <c r="G20" s="73"/>
      <c r="H20" s="73" t="s">
        <v>43</v>
      </c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154"/>
    </row>
    <row r="21" ht="13.5" customHeight="1" spans="1:20">
      <c r="A21" s="68"/>
      <c r="B21" s="82"/>
      <c r="C21" s="70"/>
      <c r="D21" s="76">
        <v>1</v>
      </c>
      <c r="E21" s="75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154"/>
    </row>
    <row r="22" ht="13.5" customHeight="1" spans="1:20">
      <c r="A22" s="68"/>
      <c r="B22" s="69"/>
      <c r="C22" s="70"/>
      <c r="D22" s="77">
        <v>2</v>
      </c>
      <c r="E22" s="78"/>
      <c r="F22" s="73"/>
      <c r="G22" s="73"/>
      <c r="H22" s="73"/>
      <c r="I22" s="73" t="s">
        <v>43</v>
      </c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154"/>
    </row>
    <row r="23" ht="13.5" customHeight="1" spans="1:20">
      <c r="A23" s="68"/>
      <c r="B23" s="69" t="s">
        <v>47</v>
      </c>
      <c r="C23" s="70"/>
      <c r="D23" s="83"/>
      <c r="E23" s="84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154"/>
    </row>
    <row r="24" ht="13.5" customHeight="1" spans="1:20">
      <c r="A24" s="68"/>
      <c r="B24" s="69"/>
      <c r="C24" s="70"/>
      <c r="D24" s="85" t="s">
        <v>48</v>
      </c>
      <c r="E24" s="75"/>
      <c r="F24" s="73" t="s">
        <v>43</v>
      </c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154"/>
    </row>
    <row r="25" ht="13.5" customHeight="1" spans="1:20">
      <c r="A25" s="68"/>
      <c r="B25" s="69"/>
      <c r="C25" s="70"/>
      <c r="D25" s="76" t="s">
        <v>49</v>
      </c>
      <c r="E25" s="86"/>
      <c r="F25" s="73"/>
      <c r="G25" s="73" t="s">
        <v>43</v>
      </c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154"/>
    </row>
    <row r="26" ht="13.5" customHeight="1" spans="1:20">
      <c r="A26" s="68"/>
      <c r="B26" s="69"/>
      <c r="C26" s="70"/>
      <c r="D26" s="76" t="s">
        <v>50</v>
      </c>
      <c r="E26" s="86"/>
      <c r="F26" s="73"/>
      <c r="G26" s="73"/>
      <c r="H26" s="73" t="s">
        <v>43</v>
      </c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154"/>
    </row>
    <row r="27" ht="13.5" customHeight="1" spans="1:20">
      <c r="A27" s="68"/>
      <c r="B27" s="69"/>
      <c r="C27" s="70"/>
      <c r="D27" s="76" t="s">
        <v>51</v>
      </c>
      <c r="E27" s="86"/>
      <c r="F27" s="73"/>
      <c r="G27" s="73"/>
      <c r="H27" s="73"/>
      <c r="I27" s="73" t="s">
        <v>43</v>
      </c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154"/>
    </row>
    <row r="28" ht="13.5" customHeight="1" spans="1:20">
      <c r="A28" s="68"/>
      <c r="B28" s="87"/>
      <c r="C28" s="70"/>
      <c r="D28" s="76"/>
      <c r="E28" s="86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154"/>
    </row>
    <row r="29" ht="13.5" customHeight="1" spans="1:20">
      <c r="A29" s="88"/>
      <c r="B29" s="89"/>
      <c r="C29" s="90"/>
      <c r="D29" s="91"/>
      <c r="E29" s="86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156"/>
    </row>
    <row r="30" ht="13.5" customHeight="1" spans="1:20">
      <c r="A30" s="93" t="s">
        <v>52</v>
      </c>
      <c r="B30" s="94" t="s">
        <v>53</v>
      </c>
      <c r="C30" s="95"/>
      <c r="D30" s="96"/>
      <c r="E30" s="97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157"/>
    </row>
    <row r="31" ht="13.5" customHeight="1" spans="1:20">
      <c r="A31" s="99"/>
      <c r="B31" s="100"/>
      <c r="C31" s="101"/>
      <c r="D31" s="102">
        <v>36000</v>
      </c>
      <c r="E31" s="103"/>
      <c r="F31" s="73" t="s">
        <v>43</v>
      </c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154"/>
    </row>
    <row r="32" ht="13.5" customHeight="1" spans="1:20">
      <c r="A32" s="99"/>
      <c r="B32" s="100"/>
      <c r="C32" s="104"/>
      <c r="D32" s="102">
        <v>40000</v>
      </c>
      <c r="E32" s="105"/>
      <c r="F32" s="73"/>
      <c r="G32" s="73" t="s">
        <v>43</v>
      </c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154"/>
    </row>
    <row r="33" ht="13.5" customHeight="1" spans="1:20">
      <c r="A33" s="99"/>
      <c r="B33" s="100"/>
      <c r="C33" s="104"/>
      <c r="D33" s="102">
        <v>6750</v>
      </c>
      <c r="E33" s="105"/>
      <c r="F33" s="73"/>
      <c r="G33" s="73"/>
      <c r="H33" s="73" t="s">
        <v>43</v>
      </c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154"/>
    </row>
    <row r="34" ht="13.5" customHeight="1" spans="1:20">
      <c r="A34" s="99"/>
      <c r="B34" s="100" t="s">
        <v>54</v>
      </c>
      <c r="C34" s="104"/>
      <c r="D34" s="102"/>
      <c r="E34" s="105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154"/>
    </row>
    <row r="35" ht="13.5" customHeight="1" spans="1:20">
      <c r="A35" s="106"/>
      <c r="B35" s="100"/>
      <c r="C35" s="104"/>
      <c r="D35" s="102"/>
      <c r="E35" s="105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154"/>
    </row>
    <row r="36" ht="13.5" customHeight="1" spans="1:20">
      <c r="A36" s="106"/>
      <c r="B36" s="100" t="s">
        <v>55</v>
      </c>
      <c r="C36" s="104"/>
      <c r="D36" s="102"/>
      <c r="E36" s="105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154"/>
    </row>
    <row r="37" ht="13.5" customHeight="1" spans="1:20">
      <c r="A37" s="106"/>
      <c r="B37" s="100"/>
      <c r="C37" s="107"/>
      <c r="D37" s="108"/>
      <c r="E37" s="105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154"/>
    </row>
    <row r="38" ht="13.5" customHeight="1" spans="1:20">
      <c r="A38" s="109"/>
      <c r="B38" s="110" t="s">
        <v>56</v>
      </c>
      <c r="C38" s="111"/>
      <c r="D38" s="112"/>
      <c r="E38" s="113"/>
      <c r="F38" s="114"/>
      <c r="G38" s="114"/>
      <c r="H38" s="114"/>
      <c r="I38" s="73" t="s">
        <v>43</v>
      </c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58"/>
    </row>
    <row r="39" ht="13.5" customHeight="1" spans="1:20">
      <c r="A39" s="106" t="s">
        <v>57</v>
      </c>
      <c r="B39" s="115" t="s">
        <v>58</v>
      </c>
      <c r="C39" s="116"/>
      <c r="D39" s="116"/>
      <c r="E39" s="116"/>
      <c r="F39" s="117" t="s">
        <v>59</v>
      </c>
      <c r="G39" s="117" t="s">
        <v>59</v>
      </c>
      <c r="H39" s="117" t="s">
        <v>59</v>
      </c>
      <c r="I39" s="117" t="s">
        <v>60</v>
      </c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59"/>
    </row>
    <row r="40" ht="13.5" customHeight="1" spans="1:20">
      <c r="A40" s="106"/>
      <c r="B40" s="118" t="s">
        <v>61</v>
      </c>
      <c r="C40" s="119"/>
      <c r="D40" s="119"/>
      <c r="E40" s="120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60"/>
    </row>
    <row r="41" ht="13.5" customHeight="1" spans="1:20">
      <c r="A41" s="106"/>
      <c r="B41" s="122" t="s">
        <v>62</v>
      </c>
      <c r="C41" s="123"/>
      <c r="D41" s="123"/>
      <c r="E41" s="124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61"/>
    </row>
    <row r="42" ht="10.95" spans="1:20">
      <c r="A42" s="109"/>
      <c r="B42" s="126" t="s">
        <v>63</v>
      </c>
      <c r="C42" s="127"/>
      <c r="D42" s="127"/>
      <c r="E42" s="128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62"/>
    </row>
    <row r="43" spans="1:1">
      <c r="A43" s="130"/>
    </row>
    <row r="46" spans="1:2">
      <c r="A46" s="24" t="s">
        <v>17</v>
      </c>
      <c r="B46" s="25" t="s">
        <v>18</v>
      </c>
    </row>
    <row r="47" spans="2:3">
      <c r="B47" s="131" t="s">
        <v>64</v>
      </c>
      <c r="C47" s="132"/>
    </row>
  </sheetData>
  <mergeCells count="33">
    <mergeCell ref="A1:B1"/>
    <mergeCell ref="C1:E1"/>
    <mergeCell ref="F1:K1"/>
    <mergeCell ref="L1:T1"/>
    <mergeCell ref="A2:B2"/>
    <mergeCell ref="C2:E2"/>
    <mergeCell ref="F2:K2"/>
    <mergeCell ref="L2:N2"/>
    <mergeCell ref="A3:B3"/>
    <mergeCell ref="C3:D3"/>
    <mergeCell ref="F3:K3"/>
    <mergeCell ref="L3:T3"/>
    <mergeCell ref="A4:B4"/>
    <mergeCell ref="C4:T4"/>
    <mergeCell ref="A5:B5"/>
    <mergeCell ref="C5:E5"/>
    <mergeCell ref="F5:K5"/>
    <mergeCell ref="L5:N5"/>
    <mergeCell ref="O5:T5"/>
    <mergeCell ref="A6:B6"/>
    <mergeCell ref="C6:E6"/>
    <mergeCell ref="F6:K6"/>
    <mergeCell ref="O6:T6"/>
    <mergeCell ref="A8:D8"/>
    <mergeCell ref="D18:E18"/>
    <mergeCell ref="D19:E19"/>
    <mergeCell ref="D20:E20"/>
    <mergeCell ref="D22:E22"/>
    <mergeCell ref="D23:E23"/>
    <mergeCell ref="B39:D39"/>
    <mergeCell ref="B40:D40"/>
    <mergeCell ref="B41:D41"/>
    <mergeCell ref="B42:D42"/>
  </mergeCells>
  <dataValidations count="3">
    <dataValidation type="list" allowBlank="1" showInputMessage="1" showErrorMessage="1" sqref="H33 F65546:T65574 EQX65546:ERL65574 KIP65546:KJD65574 QAH65546:QAV65574 VRZ65546:VSN65574 JB65546:JP65574 FAT65546:FBH65574 KSL65546:KSZ65574 QKD65546:QKR65574 WBV65546:WCJ65574 SX65546:TL65574 FKP65546:FLD65574 LCH65546:LCV65574 QTZ65546:QUN65574 WLR65546:WMF65574 ACT65546:ADH65574 FUL65546:FUZ65574 LMD65546:LMR65574 RDV65546:REJ65574 WVN65546:WWB65574 AMP65546:AND65574 GEH65546:GEV65574 LVZ65546:LWN65574 RNR65546:ROF65574 AWL65546:AWZ65574 GOD65546:GOR65574 MFV65546:MGJ65574 RXN65546:RYB65574 BGH65546:BGV65574 GXZ65546:GYN65574 MPR65546:MQF65574 SHJ65546:SHX65574 BQD65546:BQR65574 HHV65546:HIJ65574 MZN65546:NAB65574 SRF65546:SRT65574 BZZ65546:CAN65574 HRR65546:HSF65574 NJJ65546:NJX65574 TBB65546:TBP65574 CJV65546:CKJ65574 IBN65546:ICB65574 NTF65546:NTT65574 TKX65546:TLL65574 CTR65546:CUF65574 ILJ65546:ILX65574 ODB65546:ODP65574 TUT65546:TVH65574 DDN65546:DEB65574 IVF65546:IVT65574 OMX65546:ONL65574 UEP65546:UFD65574 DNJ65546:DNX65574 JFB65546:JFP65574 OWT65546:OXH65574 UOL65546:UOZ65574 DXF65546:DXT65574 JOX65546:JPL65574 PGP65546:PHD65574 UYH65546:UYV65574 EHB65546:EHP65574 JYT65546:JZH65574 PQL65546:PQZ65574 VID65546:VIR65574 F131082:T131110 EQX131082:ERL131110 KIP131082:KJD131110 QAH131082:QAV131110 VRZ131082:VSN131110 JB131082:JP131110 FAT131082:FBH131110 KSL131082:KSZ131110 QKD131082:QKR131110 WBV131082:WCJ131110 SX131082:TL131110 FKP131082:FLD131110 LCH131082:LCV131110 QTZ131082:QUN131110 WLR131082:WMF131110 ACT131082:ADH131110 FUL131082:FUZ131110 LMD131082:LMR131110 RDV131082:REJ131110 WVN131082:WWB131110 AMP131082:AND131110 GEH131082:GEV131110 LVZ131082:LWN131110 RNR131082:ROF131110 AWL131082:AWZ131110 GOD131082:GOR131110 MFV131082:MGJ131110 RXN131082:RYB131110 BGH131082:BGV131110 GXZ131082:GYN131110 MPR131082:MQF131110 SHJ131082:SHX131110 BQD131082:BQR131110 HHV131082:HIJ131110 MZN131082:NAB131110 SRF131082:SRT131110 BZZ131082:CAN131110 HRR131082:HSF131110 NJJ131082:NJX131110 TBB131082:TBP131110 CJV131082:CKJ131110 IBN131082:ICB131110 NTF131082:NTT131110 TKX131082:TLL131110 CTR131082:CUF131110 ILJ131082:ILX131110 ODB131082:ODP131110 TUT131082:TVH131110 DDN131082:DEB131110 IVF131082:IVT131110 OMX131082:ONL131110 UEP131082:UFD131110 DNJ131082:DNX131110 JFB131082:JFP131110 OWT131082:OXH131110 UOL131082:UOZ131110 DXF131082:DXT131110 JOX131082:JPL131110 PGP131082:PHD131110 UYH131082:UYV131110 EHB131082:EHP131110 JYT131082:JZH131110 PQL131082:PQZ131110 VID131082:VIR131110 F196618:T196646 EQX196618:ERL196646 KIP196618:KJD196646 QAH196618:QAV196646 VRZ196618:VSN196646 JB196618:JP196646 FAT196618:FBH196646 KSL196618:KSZ196646 QKD196618:QKR196646 WBV196618:WCJ196646 SX196618:TL196646 FKP196618:FLD196646 LCH196618:LCV196646 QTZ196618:QUN196646 WLR196618:WMF196646 ACT196618:ADH196646 FUL196618:FUZ196646 LMD196618:LMR196646 RDV196618:REJ196646 WVN196618:WWB196646 AMP196618:AND196646 GEH196618:GEV196646 LVZ196618:LWN196646 RNR196618:ROF196646 AWL196618:AWZ196646 GOD196618:GOR196646 MFV196618:MGJ196646 RXN196618:RYB196646 BGH196618:BGV196646 GXZ196618:GYN196646 MPR196618:MQF196646 SHJ196618:SHX196646 BQD196618:BQR196646 HHV196618:HIJ196646 MZN196618:NAB196646 SRF196618:SRT196646 BZZ196618:CAN196646 HRR196618:HSF196646 NJJ196618:NJX196646 TBB196618:TBP196646 CJV196618:CKJ196646 IBN196618:ICB196646 NTF196618:NTT196646 TKX196618:TLL196646 CTR196618:CUF196646 ILJ196618:ILX196646 ODB196618:ODP196646 TUT196618:TVH196646 DDN196618:DEB196646 IVF196618:IVT196646 OMX196618:ONL196646 UEP196618:UFD196646 DNJ196618:DNX196646 JFB196618:JFP196646 OWT196618:OXH196646 UOL196618:UOZ196646 DXF196618:DXT196646 JOX196618:JPL196646 PGP196618:PHD196646 UYH196618:UYV196646 EHB196618:EHP196646 JYT196618:JZH196646 PQL196618:PQZ196646 VID196618:VIR196646 F262154:T262182 EQX262154:ERL262182 KIP262154:KJD262182 QAH262154:QAV262182 VRZ262154:VSN262182 JB262154:JP262182 FAT262154:FBH262182 KSL262154:KSZ262182 QKD262154:QKR262182 WBV262154:WCJ262182 SX262154:TL262182 FKP262154:FLD262182 LCH262154:LCV262182 QTZ262154:QUN262182 WLR262154:WMF262182 ACT262154:ADH262182 FUL262154:FUZ262182 LMD262154:LMR262182 RDV262154:REJ262182 WVN262154:WWB262182 AMP262154:AND262182 GEH262154:GEV262182 LVZ262154:LWN262182 RNR262154:ROF262182 AWL262154:AWZ262182 GOD262154:GOR262182 MFV262154:MGJ262182 RXN262154:RYB262182 BGH262154:BGV262182 GXZ262154:GYN262182 MPR262154:MQF262182 SHJ262154:SHX262182 BQD262154:BQR262182 HHV262154:HIJ262182 MZN262154:NAB262182 SRF262154:SRT262182 BZZ262154:CAN262182 HRR262154:HSF262182 NJJ262154:NJX262182 TBB262154:TBP262182 CJV262154:CKJ262182 IBN262154:ICB262182 NTF262154:NTT262182 TKX262154:TLL262182 CTR262154:CUF262182 ILJ262154:ILX262182 ODB262154:ODP262182 TUT262154:TVH262182 DDN262154:DEB262182 IVF262154:IVT262182 OMX262154:ONL262182 UEP262154:UFD262182 DNJ262154:DNX262182 JFB262154:JFP262182 OWT262154:OXH262182 UOL262154:UOZ262182 DXF262154:DXT262182 JOX262154:JPL262182 PGP262154:PHD262182 UYH262154:UYV262182 EHB262154:EHP262182 JYT262154:JZH262182 PQL262154:PQZ262182 VID262154:VIR262182 F327690:T327718 EQX327690:ERL327718 KIP327690:KJD327718 QAH327690:QAV327718 VRZ327690:VSN327718 JB327690:JP327718 FAT327690:FBH327718 KSL327690:KSZ327718 QKD327690:QKR327718 WBV327690:WCJ327718 SX327690:TL327718 FKP327690:FLD327718 LCH327690:LCV327718 QTZ327690:QUN327718 WLR327690:WMF327718 ACT327690:ADH327718 FUL327690:FUZ327718 LMD327690:LMR327718 RDV327690:REJ327718 WVN327690:WWB327718 AMP327690:AND327718 GEH327690:GEV327718 LVZ327690:LWN327718 RNR327690:ROF327718 AWL327690:AWZ327718 GOD327690:GOR327718 MFV327690:MGJ327718 RXN327690:RYB327718 BGH327690:BGV327718 GXZ327690:GYN327718 MPR327690:MQF327718 SHJ327690:SHX327718 BQD327690:BQR327718 HHV327690:HIJ327718 MZN327690:NAB327718 SRF327690:SRT327718 BZZ327690:CAN327718 HRR327690:HSF327718 NJJ327690:NJX327718 TBB327690:TBP327718 CJV327690:CKJ327718 IBN327690:ICB327718 NTF327690:NTT327718 TKX327690:TLL327718 CTR327690:CUF327718 ILJ327690:ILX327718 ODB327690:ODP327718 TUT327690:TVH327718 DDN327690:DEB327718 IVF327690:IVT327718 OMX327690:ONL327718 UEP327690:UFD327718 DNJ327690:DNX327718 JFB327690:JFP327718 OWT327690:OXH327718 UOL327690:UOZ327718 DXF327690:DXT327718 JOX327690:JPL327718 PGP327690:PHD327718 UYH327690:UYV327718 EHB327690:EHP327718 JYT327690:JZH327718 PQL327690:PQZ327718 VID327690:VIR327718 F393226:T393254 EQX393226:ERL393254 KIP393226:KJD393254 QAH393226:QAV393254 VRZ393226:VSN393254 JB393226:JP393254 FAT393226:FBH393254 KSL393226:KSZ393254 QKD393226:QKR393254 WBV393226:WCJ393254 SX393226:TL393254 FKP393226:FLD393254 LCH393226:LCV393254 QTZ393226:QUN393254 WLR393226:WMF393254 ACT393226:ADH393254 FUL393226:FUZ393254 LMD393226:LMR393254 RDV393226:REJ393254 WVN393226:WWB393254 AMP393226:AND393254 GEH393226:GEV393254 LVZ393226:LWN393254 RNR393226:ROF393254 AWL393226:AWZ393254 GOD393226:GOR393254 MFV393226:MGJ393254 RXN393226:RYB393254 BGH393226:BGV393254 GXZ393226:GYN393254 MPR393226:MQF393254 SHJ393226:SHX393254 BQD393226:BQR393254 HHV393226:HIJ393254 MZN393226:NAB393254 SRF393226:SRT393254 BZZ393226:CAN393254 HRR393226:HSF393254 NJJ393226:NJX393254 TBB393226:TBP393254 CJV393226:CKJ393254 IBN393226:ICB393254 NTF393226:NTT393254 TKX393226:TLL393254 CTR393226:CUF393254 ILJ393226:ILX393254 ODB393226:ODP393254 TUT393226:TVH393254 DDN393226:DEB393254 IVF393226:IVT393254 OMX393226:ONL393254 UEP393226:UFD393254 DNJ393226:DNX393254 JFB393226:JFP393254 OWT393226:OXH393254 UOL393226:UOZ393254 DXF393226:DXT393254 JOX393226:JPL393254 PGP393226:PHD393254 UYH393226:UYV393254 EHB393226:EHP393254 JYT393226:JZH393254 PQL393226:PQZ393254 VID393226:VIR393254 F458762:T458790 EQX458762:ERL458790 KIP458762:KJD458790 QAH458762:QAV458790 VRZ458762:VSN458790 JB458762:JP458790 FAT458762:FBH458790 KSL458762:KSZ458790 QKD458762:QKR458790 WBV458762:WCJ458790 SX458762:TL458790 FKP458762:FLD458790 LCH458762:LCV458790 QTZ458762:QUN458790 WLR458762:WMF458790 ACT458762:ADH458790 FUL458762:FUZ458790 LMD458762:LMR458790 RDV458762:REJ458790 WVN458762:WWB458790 AMP458762:AND458790 GEH458762:GEV458790 LVZ458762:LWN458790 RNR458762:ROF458790 AWL458762:AWZ458790 GOD458762:GOR458790 MFV458762:MGJ458790 RXN458762:RYB458790 BGH458762:BGV458790 GXZ458762:GYN458790 MPR458762:MQF458790 SHJ458762:SHX458790 BQD458762:BQR458790 HHV458762:HIJ458790 MZN458762:NAB458790 SRF458762:SRT458790 BZZ458762:CAN458790 HRR458762:HSF458790 NJJ458762:NJX458790 TBB458762:TBP458790 CJV458762:CKJ458790 IBN458762:ICB458790 NTF458762:NTT458790 TKX458762:TLL458790 CTR458762:CUF458790 ILJ458762:ILX458790 ODB458762:ODP458790 TUT458762:TVH458790 DDN458762:DEB458790 IVF458762:IVT458790 OMX458762:ONL458790 UEP458762:UFD458790 DNJ458762:DNX458790 JFB458762:JFP458790 OWT458762:OXH458790 UOL458762:UOZ458790 DXF458762:DXT458790 JOX458762:JPL458790 PGP458762:PHD458790 UYH458762:UYV458790 EHB458762:EHP458790 JYT458762:JZH458790 PQL458762:PQZ458790 VID458762:VIR458790 F524298:T524326 EQX524298:ERL524326 KIP524298:KJD524326 QAH524298:QAV524326 VRZ524298:VSN524326 JB524298:JP524326 FAT524298:FBH524326 KSL524298:KSZ524326 QKD524298:QKR524326 WBV524298:WCJ524326 SX524298:TL524326 FKP524298:FLD524326 LCH524298:LCV524326 QTZ524298:QUN524326 WLR524298:WMF524326 ACT524298:ADH524326 FUL524298:FUZ524326 LMD524298:LMR524326 RDV524298:REJ524326 WVN524298:WWB524326 AMP524298:AND524326 GEH524298:GEV524326 LVZ524298:LWN524326 RNR524298:ROF524326 AWL524298:AWZ524326 GOD524298:GOR524326 MFV524298:MGJ524326 RXN524298:RYB524326 BGH524298:BGV524326 GXZ524298:GYN524326 MPR524298:MQF524326 SHJ524298:SHX524326 BQD524298:BQR524326 HHV524298:HIJ524326 MZN524298:NAB524326 SRF524298:SRT524326 BZZ524298:CAN524326 HRR524298:HSF524326 NJJ524298:NJX524326 TBB524298:TBP524326 CJV524298:CKJ524326 IBN524298:ICB524326 NTF524298:NTT524326 TKX524298:TLL524326 CTR524298:CUF524326 ILJ524298:ILX524326 ODB524298:ODP524326 TUT524298:TVH524326 DDN524298:DEB524326 IVF524298:IVT524326 OMX524298:ONL524326 UEP524298:UFD524326 DNJ524298:DNX524326 JFB524298:JFP524326 OWT524298:OXH524326 UOL524298:UOZ524326 DXF524298:DXT524326 JOX524298:JPL524326 PGP524298:PHD524326 UYH524298:UYV524326 EHB524298:EHP524326 JYT524298:JZH524326 PQL524298:PQZ524326 VID524298:VIR524326 F589834:T589862 EQX589834:ERL589862 KIP589834:KJD589862 QAH589834:QAV589862 VRZ589834:VSN589862 JB589834:JP589862 FAT589834:FBH589862 KSL589834:KSZ589862 QKD589834:QKR589862 WBV589834:WCJ589862 SX589834:TL589862 FKP589834:FLD589862 LCH589834:LCV589862 QTZ589834:QUN589862 WLR589834:WMF589862 ACT589834:ADH589862 FUL589834:FUZ589862 LMD589834:LMR589862 RDV589834:REJ589862 WVN589834:WWB589862 AMP589834:AND589862 GEH589834:GEV589862 LVZ589834:LWN589862 RNR589834:ROF589862 AWL589834:AWZ589862 GOD589834:GOR589862 MFV589834:MGJ589862 RXN589834:RYB589862 BGH589834:BGV589862 GXZ589834:GYN589862 MPR589834:MQF589862 SHJ589834:SHX589862 BQD589834:BQR589862 HHV589834:HIJ589862 MZN589834:NAB589862 SRF589834:SRT589862 BZZ589834:CAN589862 HRR589834:HSF589862 NJJ589834:NJX589862 TBB589834:TBP589862 CJV589834:CKJ589862 IBN589834:ICB589862 NTF589834:NTT589862 TKX589834:TLL589862 CTR589834:CUF589862 ILJ589834:ILX589862 ODB589834:ODP589862 TUT589834:TVH589862 DDN589834:DEB589862 IVF589834:IVT589862 OMX589834:ONL589862 UEP589834:UFD589862 DNJ589834:DNX589862 JFB589834:JFP589862 OWT589834:OXH589862 UOL589834:UOZ589862 DXF589834:DXT589862 JOX589834:JPL589862 PGP589834:PHD589862 UYH589834:UYV589862 EHB589834:EHP589862 JYT589834:JZH589862 PQL589834:PQZ589862 VID589834:VIR589862 F655370:T655398 EQX655370:ERL655398 KIP655370:KJD655398 QAH655370:QAV655398 VRZ655370:VSN655398 JB655370:JP655398 FAT655370:FBH655398 KSL655370:KSZ655398 QKD655370:QKR655398 WBV655370:WCJ655398 SX655370:TL655398 FKP655370:FLD655398 LCH655370:LCV655398 QTZ655370:QUN655398 WLR655370:WMF655398 ACT655370:ADH655398 FUL655370:FUZ655398 LMD655370:LMR655398 RDV655370:REJ655398 WVN655370:WWB655398 AMP655370:AND655398 GEH655370:GEV655398 LVZ655370:LWN655398 RNR655370:ROF655398 AWL655370:AWZ655398 GOD655370:GOR655398 MFV655370:MGJ655398 RXN655370:RYB655398 BGH655370:BGV655398 GXZ655370:GYN655398 MPR655370:MQF655398 SHJ655370:SHX655398 BQD655370:BQR655398 HHV655370:HIJ655398 MZN655370:NAB655398 SRF655370:SRT655398 BZZ655370:CAN655398 HRR655370:HSF655398 NJJ655370:NJX655398 TBB655370:TBP655398 CJV655370:CKJ655398 IBN655370:ICB655398 NTF655370:NTT655398 TKX655370:TLL655398 CTR655370:CUF655398 ILJ655370:ILX655398 ODB655370:ODP655398 TUT655370:TVH655398 DDN655370:DEB655398 IVF655370:IVT655398 OMX655370:ONL655398 UEP655370:UFD655398 DNJ655370:DNX655398 JFB655370:JFP655398 OWT655370:OXH655398 UOL655370:UOZ655398 DXF655370:DXT655398 JOX655370:JPL655398 PGP655370:PHD655398 UYH655370:UYV655398 EHB655370:EHP655398 JYT655370:JZH655398 PQL655370:PQZ655398 VID655370:VIR655398 F720906:T720934 EQX720906:ERL720934 KIP720906:KJD720934 QAH720906:QAV720934 VRZ720906:VSN720934 JB720906:JP720934 FAT720906:FBH720934 KSL720906:KSZ720934 QKD720906:QKR720934 WBV720906:WCJ720934 SX720906:TL720934 FKP720906:FLD720934 LCH720906:LCV720934 QTZ720906:QUN720934 WLR720906:WMF720934 ACT720906:ADH720934 FUL720906:FUZ720934 LMD720906:LMR720934 RDV720906:REJ720934 WVN720906:WWB720934 AMP720906:AND720934 GEH720906:GEV720934 LVZ720906:LWN720934 RNR720906:ROF720934 AWL720906:AWZ720934 GOD720906:GOR720934 MFV720906:MGJ720934 RXN720906:RYB720934 BGH720906:BGV720934 GXZ720906:GYN720934 MPR720906:MQF720934 SHJ720906:SHX720934 BQD720906:BQR720934 HHV720906:HIJ720934 MZN720906:NAB720934 SRF720906:SRT720934 BZZ720906:CAN720934 HRR720906:HSF720934 NJJ720906:NJX720934 TBB720906:TBP720934 CJV720906:CKJ720934 IBN720906:ICB720934 NTF720906:NTT720934 TKX720906:TLL720934 CTR720906:CUF720934 ILJ720906:ILX720934 ODB720906:ODP720934 TUT720906:TVH720934 DDN720906:DEB720934 IVF720906:IVT720934 OMX720906:ONL720934 UEP720906:UFD720934 DNJ720906:DNX720934 JFB720906:JFP720934 OWT720906:OXH720934 UOL720906:UOZ720934 DXF720906:DXT720934 JOX720906:JPL720934 PGP720906:PHD720934 UYH720906:UYV720934 EHB720906:EHP720934 JYT720906:JZH720934 PQL720906:PQZ720934 VID720906:VIR720934 F786442:T786470 EQX786442:ERL786470 KIP786442:KJD786470 QAH786442:QAV786470 VRZ786442:VSN786470 JB786442:JP786470 FAT786442:FBH786470 KSL786442:KSZ786470 QKD786442:QKR786470 WBV786442:WCJ786470 SX786442:TL786470 FKP786442:FLD786470 LCH786442:LCV786470 QTZ786442:QUN786470 WLR786442:WMF786470 ACT786442:ADH786470 FUL786442:FUZ786470 LMD786442:LMR786470 RDV786442:REJ786470 WVN786442:WWB786470 AMP786442:AND786470 GEH786442:GEV786470 LVZ786442:LWN786470 RNR786442:ROF786470 AWL786442:AWZ786470 GOD786442:GOR786470 MFV786442:MGJ786470 RXN786442:RYB786470 BGH786442:BGV786470 GXZ786442:GYN786470 MPR786442:MQF786470 SHJ786442:SHX786470 BQD786442:BQR786470 HHV786442:HIJ786470 MZN786442:NAB786470 SRF786442:SRT786470 BZZ786442:CAN786470 HRR786442:HSF786470 NJJ786442:NJX786470 TBB786442:TBP786470 CJV786442:CKJ786470 IBN786442:ICB786470 NTF786442:NTT786470 TKX786442:TLL786470 CTR786442:CUF786470 ILJ786442:ILX786470 ODB786442:ODP786470 TUT786442:TVH786470 DDN786442:DEB786470 IVF786442:IVT786470 OMX786442:ONL786470 UEP786442:UFD786470 DNJ786442:DNX786470 JFB786442:JFP786470 OWT786442:OXH786470 UOL786442:UOZ786470 DXF786442:DXT786470 JOX786442:JPL786470 PGP786442:PHD786470 UYH786442:UYV786470 EHB786442:EHP786470 JYT786442:JZH786470 PQL786442:PQZ786470 VID786442:VIR786470 F851978:T852006 EQX851978:ERL852006 KIP851978:KJD852006 QAH851978:QAV852006 VRZ851978:VSN852006 JB851978:JP852006 FAT851978:FBH852006 KSL851978:KSZ852006 QKD851978:QKR852006 WBV851978:WCJ852006 SX851978:TL852006 FKP851978:FLD852006 LCH851978:LCV852006 QTZ851978:QUN852006 WLR851978:WMF852006 ACT851978:ADH852006 FUL851978:FUZ852006 LMD851978:LMR852006 RDV851978:REJ852006 WVN851978:WWB852006 AMP851978:AND852006 GEH851978:GEV852006 LVZ851978:LWN852006 RNR851978:ROF852006 AWL851978:AWZ852006 GOD851978:GOR852006 MFV851978:MGJ852006 RXN851978:RYB852006 BGH851978:BGV852006 GXZ851978:GYN852006 MPR851978:MQF852006 SHJ851978:SHX852006 BQD851978:BQR852006 HHV851978:HIJ852006 MZN851978:NAB852006 SRF851978:SRT852006 BZZ851978:CAN852006 HRR851978:HSF852006 NJJ851978:NJX852006 TBB851978:TBP852006 CJV851978:CKJ852006 IBN851978:ICB852006 NTF851978:NTT852006 TKX851978:TLL852006 CTR851978:CUF852006 ILJ851978:ILX852006 ODB851978:ODP852006 TUT851978:TVH852006 DDN851978:DEB852006 IVF851978:IVT852006 OMX851978:ONL852006 UEP851978:UFD852006 DNJ851978:DNX852006 JFB851978:JFP852006 OWT851978:OXH852006 UOL851978:UOZ852006 DXF851978:DXT852006 JOX851978:JPL852006 PGP851978:PHD852006 UYH851978:UYV852006 EHB851978:EHP852006 JYT851978:JZH852006 PQL851978:PQZ852006 VID851978:VIR852006 F917514:T917542 EQX917514:ERL917542 KIP917514:KJD917542 QAH917514:QAV917542 VRZ917514:VSN917542 JB917514:JP917542 FAT917514:FBH917542 KSL917514:KSZ917542 QKD917514:QKR917542 WBV917514:WCJ917542 SX917514:TL917542 FKP917514:FLD917542 LCH917514:LCV917542 QTZ917514:QUN917542 WLR917514:WMF917542 ACT917514:ADH917542 FUL917514:FUZ917542 LMD917514:LMR917542 RDV917514:REJ917542 WVN917514:WWB917542 AMP917514:AND917542 GEH917514:GEV917542 LVZ917514:LWN917542 RNR917514:ROF917542 AWL917514:AWZ917542 GOD917514:GOR917542 MFV917514:MGJ917542 RXN917514:RYB917542 BGH917514:BGV917542 GXZ917514:GYN917542 MPR917514:MQF917542 SHJ917514:SHX917542 BQD917514:BQR917542 HHV917514:HIJ917542 MZN917514:NAB917542 SRF917514:SRT917542 BZZ917514:CAN917542 HRR917514:HSF917542 NJJ917514:NJX917542 TBB917514:TBP917542 CJV917514:CKJ917542 IBN917514:ICB917542 NTF917514:NTT917542 TKX917514:TLL917542 CTR917514:CUF917542 ILJ917514:ILX917542 ODB917514:ODP917542 TUT917514:TVH917542 DDN917514:DEB917542 IVF917514:IVT917542 OMX917514:ONL917542 UEP917514:UFD917542 DNJ917514:DNX917542 JFB917514:JFP917542 OWT917514:OXH917542 UOL917514:UOZ917542 DXF917514:DXT917542 JOX917514:JPL917542 PGP917514:PHD917542 UYH917514:UYV917542 EHB917514:EHP917542 JYT917514:JZH917542 PQL917514:PQZ917542 VID917514:VIR917542 F983050:T983078 EQX983050:ERL983078 KIP983050:KJD983078 QAH983050:QAV983078 VRZ983050:VSN983078 JB983050:JP983078 FAT983050:FBH983078 KSL983050:KSZ983078 QKD983050:QKR983078 WBV983050:WCJ983078 SX983050:TL983078 FKP983050:FLD983078 LCH983050:LCV983078 QTZ983050:QUN983078 WLR983050:WMF983078 ACT983050:ADH983078 FUL983050:FUZ983078 LMD983050:LMR983078 RDV983050:REJ983078 WVN983050:WWB983078 AMP983050:AND983078 GEH983050:GEV983078 LVZ983050:LWN983078 RNR983050:ROF983078 AWL983050:AWZ983078 GOD983050:GOR983078 MFV983050:MGJ983078 RXN983050:RYB983078 BGH983050:BGV983078 GXZ983050:GYN983078 MPR983050:MQF983078 SHJ983050:SHX983078 BQD983050:BQR983078 HHV983050:HIJ983078 MZN983050:NAB983078 SRF983050:SRT983078 BZZ983050:CAN983078 HRR983050:HSF983078 NJJ983050:NJX983078 TBB983050:TBP983078 CJV983050:CKJ983078 IBN983050:ICB983078 NTF983050:NTT983078 TKX983050:TLL983078 CTR983050:CUF983078 ILJ983050:ILX983078 ODB983050:ODP983078 TUT983050:TVH983078 DDN983050:DEB983078 IVF983050:IVT983078 OMX983050:ONL983078 UEP983050:UFD983078 DNJ983050:DNX983078 JFB983050:JFP983078 OWT983050:OXH983078 UOL983050:UOZ983078 DXF983050:DXT983078 JOX983050:JPL983078 PGP983050:PHD983078 UYH983050:UYV983078 EHB983050:EHP983078 JYT983050:JZH983078 PQL983050:PQZ983078 VID983050:VIR983078 JB9:JP38 FAT9:FBH38 KSL9:KSZ38 QKD9:QKR38 WBV9:WCJ38 ACT9:ADH38 FUL9:FUZ38 LMD9:LMR38 RDV9:REJ38 WVN9:WWB38 SX9:TL38 FKP9:FLD38 LCH9:LCV38 QTZ9:QUN38 WLR9:WMF38 EQX9:ERL38 KIP9:KJD38 QAH9:QAV38 VRZ9:VSN38 EHB9:EHP38 JYT9:JZH38 PQL9:PQZ38 VID9:VIR38 DXF9:DXT38 JOX9:JPL38 PGP9:PHD38 UYH9:UYV38 DNJ9:DNX38 JFB9:JFP38 OWT9:OXH38 UOL9:UOZ38 DDN9:DEB38 IVF9:IVT38 OMX9:ONL38 UEP9:UFD38 CTR9:CUF38 ILJ9:ILX38 ODB9:ODP38 TUT9:TVH38 CJV9:CKJ38 IBN9:ICB38 NTF9:NTT38 TKX9:TLL38 BZZ9:CAN38 HRR9:HSF38 NJJ9:NJX38 TBB9:TBP38 BQD9:BQR38 HHV9:HIJ38 MZN9:NAB38 SRF9:SRT38 BGH9:BGV38 GXZ9:GYN38 MPR9:MQF38 SHJ9:SHX38 AWL9:AWZ38 GOD9:GOR38 MFV9:MGJ38 RXN9:RYB38 AMP9:AND38 GEH9:GEV38 LVZ9:LWN38 RNR9:ROF38 I32:T33 F9:T31 F32:G33 F34:T38">
      <formula1>"O, "</formula1>
    </dataValidation>
    <dataValidation type="list" allowBlank="1" showInputMessage="1" showErrorMessage="1" sqref="F39:T39 JB39:JP39 SX39:TL39 ACT39:ADH39 AMP39:AND39 AWL39:AWZ39 BGH39:BGV39 BQD39:BQR39 BZZ39:CAN39 CJV39:CKJ39 CTR39:CUF39 DDN39:DEB39 DNJ39:DNX39 DXF39:DXT39 EHB39:EHP39 EQX39:ERL39 FAT39:FBH39 FKP39:FLD39 FUL39:FUZ39 GEH39:GEV39 GOD39:GOR39 GXZ39:GYN39 HHV39:HIJ39 HRR39:HSF39 IBN39:ICB39 ILJ39:ILX39 IVF39:IVT39 JFB39:JFP39 JOX39:JPL39 JYT39:JZH39 KIP39:KJD39 KSL39:KSZ39 LCH39:LCV39 LMD39:LMR39 LVZ39:LWN39 MFV39:MGJ39 MPR39:MQF39 MZN39:NAB39 NJJ39:NJX39 NTF39:NTT39 ODB39:ODP39 OMX39:ONL39 OWT39:OXH39 PGP39:PHD39 PQL39:PQZ39 QAH39:QAV39 QKD39:QKR39 QTZ39:QUN39 RDV39:REJ39 RNR39:ROF39 RXN39:RYB39 SHJ39:SHX39 SRF39:SRT39 TBB39:TBP39 TKX39:TLL39 TUT39:TVH39 UEP39:UFD39 UOL39:UOZ39 UYH39:UYV39 VID39:VIR39 VRZ39:VSN39 WBV39:WCJ39 WLR39:WMF39 WVN39:WWB39 F65575:T65575 JB65575:JP65575 SX65575:TL65575 ACT65575:ADH65575 AMP65575:AND65575 AWL65575:AWZ65575 BGH65575:BGV65575 BQD65575:BQR65575 BZZ65575:CAN65575 CJV65575:CKJ65575 CTR65575:CUF65575 DDN65575:DEB65575 DNJ65575:DNX65575 DXF65575:DXT65575 EHB65575:EHP65575 EQX65575:ERL65575 FAT65575:FBH65575 FKP65575:FLD65575 FUL65575:FUZ65575 GEH65575:GEV65575 GOD65575:GOR65575 GXZ65575:GYN65575 HHV65575:HIJ65575 HRR65575:HSF65575 IBN65575:ICB65575 ILJ65575:ILX65575 IVF65575:IVT65575 JFB65575:JFP65575 JOX65575:JPL65575 JYT65575:JZH65575 KIP65575:KJD65575 KSL65575:KSZ65575 LCH65575:LCV65575 LMD65575:LMR65575 LVZ65575:LWN65575 MFV65575:MGJ65575 MPR65575:MQF65575 MZN65575:NAB65575 NJJ65575:NJX65575 NTF65575:NTT65575 ODB65575:ODP65575 OMX65575:ONL65575 OWT65575:OXH65575 PGP65575:PHD65575 PQL65575:PQZ65575 QAH65575:QAV65575 QKD65575:QKR65575 QTZ65575:QUN65575 RDV65575:REJ65575 RNR65575:ROF65575 RXN65575:RYB65575 SHJ65575:SHX65575 SRF65575:SRT65575 TBB65575:TBP65575 TKX65575:TLL65575 TUT65575:TVH65575 UEP65575:UFD65575 UOL65575:UOZ65575 UYH65575:UYV65575 VID65575:VIR65575 VRZ65575:VSN65575 WBV65575:WCJ65575 WLR65575:WMF65575 WVN65575:WWB65575 F131111:T131111 JB131111:JP131111 SX131111:TL131111 ACT131111:ADH131111 AMP131111:AND131111 AWL131111:AWZ131111 BGH131111:BGV131111 BQD131111:BQR131111 BZZ131111:CAN131111 CJV131111:CKJ131111 CTR131111:CUF131111 DDN131111:DEB131111 DNJ131111:DNX131111 DXF131111:DXT131111 EHB131111:EHP131111 EQX131111:ERL131111 FAT131111:FBH131111 FKP131111:FLD131111 FUL131111:FUZ131111 GEH131111:GEV131111 GOD131111:GOR131111 GXZ131111:GYN131111 HHV131111:HIJ131111 HRR131111:HSF131111 IBN131111:ICB131111 ILJ131111:ILX131111 IVF131111:IVT131111 JFB131111:JFP131111 JOX131111:JPL131111 JYT131111:JZH131111 KIP131111:KJD131111 KSL131111:KSZ131111 LCH131111:LCV131111 LMD131111:LMR131111 LVZ131111:LWN131111 MFV131111:MGJ131111 MPR131111:MQF131111 MZN131111:NAB131111 NJJ131111:NJX131111 NTF131111:NTT131111 ODB131111:ODP131111 OMX131111:ONL131111 OWT131111:OXH131111 PGP131111:PHD131111 PQL131111:PQZ131111 QAH131111:QAV131111 QKD131111:QKR131111 QTZ131111:QUN131111 RDV131111:REJ131111 RNR131111:ROF131111 RXN131111:RYB131111 SHJ131111:SHX131111 SRF131111:SRT131111 TBB131111:TBP131111 TKX131111:TLL131111 TUT131111:TVH131111 UEP131111:UFD131111 UOL131111:UOZ131111 UYH131111:UYV131111 VID131111:VIR131111 VRZ131111:VSN131111 WBV131111:WCJ131111 WLR131111:WMF131111 WVN131111:WWB131111 F196647:T196647 JB196647:JP196647 SX196647:TL196647 ACT196647:ADH196647 AMP196647:AND196647 AWL196647:AWZ196647 BGH196647:BGV196647 BQD196647:BQR196647 BZZ196647:CAN196647 CJV196647:CKJ196647 CTR196647:CUF196647 DDN196647:DEB196647 DNJ196647:DNX196647 DXF196647:DXT196647 EHB196647:EHP196647 EQX196647:ERL196647 FAT196647:FBH196647 FKP196647:FLD196647 FUL196647:FUZ196647 GEH196647:GEV196647 GOD196647:GOR196647 GXZ196647:GYN196647 HHV196647:HIJ196647 HRR196647:HSF196647 IBN196647:ICB196647 ILJ196647:ILX196647 IVF196647:IVT196647 JFB196647:JFP196647 JOX196647:JPL196647 JYT196647:JZH196647 KIP196647:KJD196647 KSL196647:KSZ196647 LCH196647:LCV196647 LMD196647:LMR196647 LVZ196647:LWN196647 MFV196647:MGJ196647 MPR196647:MQF196647 MZN196647:NAB196647 NJJ196647:NJX196647 NTF196647:NTT196647 ODB196647:ODP196647 OMX196647:ONL196647 OWT196647:OXH196647 PGP196647:PHD196647 PQL196647:PQZ196647 QAH196647:QAV196647 QKD196647:QKR196647 QTZ196647:QUN196647 RDV196647:REJ196647 RNR196647:ROF196647 RXN196647:RYB196647 SHJ196647:SHX196647 SRF196647:SRT196647 TBB196647:TBP196647 TKX196647:TLL196647 TUT196647:TVH196647 UEP196647:UFD196647 UOL196647:UOZ196647 UYH196647:UYV196647 VID196647:VIR196647 VRZ196647:VSN196647 WBV196647:WCJ196647 WLR196647:WMF196647 WVN196647:WWB196647 F262183:T262183 JB262183:JP262183 SX262183:TL262183 ACT262183:ADH262183 AMP262183:AND262183 AWL262183:AWZ262183 BGH262183:BGV262183 BQD262183:BQR262183 BZZ262183:CAN262183 CJV262183:CKJ262183 CTR262183:CUF262183 DDN262183:DEB262183 DNJ262183:DNX262183 DXF262183:DXT262183 EHB262183:EHP262183 EQX262183:ERL262183 FAT262183:FBH262183 FKP262183:FLD262183 FUL262183:FUZ262183 GEH262183:GEV262183 GOD262183:GOR262183 GXZ262183:GYN262183 HHV262183:HIJ262183 HRR262183:HSF262183 IBN262183:ICB262183 ILJ262183:ILX262183 IVF262183:IVT262183 JFB262183:JFP262183 JOX262183:JPL262183 JYT262183:JZH262183 KIP262183:KJD262183 KSL262183:KSZ262183 LCH262183:LCV262183 LMD262183:LMR262183 LVZ262183:LWN262183 MFV262183:MGJ262183 MPR262183:MQF262183 MZN262183:NAB262183 NJJ262183:NJX262183 NTF262183:NTT262183 ODB262183:ODP262183 OMX262183:ONL262183 OWT262183:OXH262183 PGP262183:PHD262183 PQL262183:PQZ262183 QAH262183:QAV262183 QKD262183:QKR262183 QTZ262183:QUN262183 RDV262183:REJ262183 RNR262183:ROF262183 RXN262183:RYB262183 SHJ262183:SHX262183 SRF262183:SRT262183 TBB262183:TBP262183 TKX262183:TLL262183 TUT262183:TVH262183 UEP262183:UFD262183 UOL262183:UOZ262183 UYH262183:UYV262183 VID262183:VIR262183 VRZ262183:VSN262183 WBV262183:WCJ262183 WLR262183:WMF262183 WVN262183:WWB262183 F327719:T327719 JB327719:JP327719 SX327719:TL327719 ACT327719:ADH327719 AMP327719:AND327719 AWL327719:AWZ327719 BGH327719:BGV327719 BQD327719:BQR327719 BZZ327719:CAN327719 CJV327719:CKJ327719 CTR327719:CUF327719 DDN327719:DEB327719 DNJ327719:DNX327719 DXF327719:DXT327719 EHB327719:EHP327719 EQX327719:ERL327719 FAT327719:FBH327719 FKP327719:FLD327719 FUL327719:FUZ327719 GEH327719:GEV327719 GOD327719:GOR327719 GXZ327719:GYN327719 HHV327719:HIJ327719 HRR327719:HSF327719 IBN327719:ICB327719 ILJ327719:ILX327719 IVF327719:IVT327719 JFB327719:JFP327719 JOX327719:JPL327719 JYT327719:JZH327719 KIP327719:KJD327719 KSL327719:KSZ327719 LCH327719:LCV327719 LMD327719:LMR327719 LVZ327719:LWN327719 MFV327719:MGJ327719 MPR327719:MQF327719 MZN327719:NAB327719 NJJ327719:NJX327719 NTF327719:NTT327719 ODB327719:ODP327719 OMX327719:ONL327719 OWT327719:OXH327719 PGP327719:PHD327719 PQL327719:PQZ327719 QAH327719:QAV327719 QKD327719:QKR327719 QTZ327719:QUN327719 RDV327719:REJ327719 RNR327719:ROF327719 RXN327719:RYB327719 SHJ327719:SHX327719 SRF327719:SRT327719 TBB327719:TBP327719 TKX327719:TLL327719 TUT327719:TVH327719 UEP327719:UFD327719 UOL327719:UOZ327719 UYH327719:UYV327719 VID327719:VIR327719 VRZ327719:VSN327719 WBV327719:WCJ327719 WLR327719:WMF327719 WVN327719:WWB327719 F393255:T393255 JB393255:JP393255 SX393255:TL393255 ACT393255:ADH393255 AMP393255:AND393255 AWL393255:AWZ393255 BGH393255:BGV393255 BQD393255:BQR393255 BZZ393255:CAN393255 CJV393255:CKJ393255 CTR393255:CUF393255 DDN393255:DEB393255 DNJ393255:DNX393255 DXF393255:DXT393255 EHB393255:EHP393255 EQX393255:ERL393255 FAT393255:FBH393255 FKP393255:FLD393255 FUL393255:FUZ393255 GEH393255:GEV393255 GOD393255:GOR393255 GXZ393255:GYN393255 HHV393255:HIJ393255 HRR393255:HSF393255 IBN393255:ICB393255 ILJ393255:ILX393255 IVF393255:IVT393255 JFB393255:JFP393255 JOX393255:JPL393255 JYT393255:JZH393255 KIP393255:KJD393255 KSL393255:KSZ393255 LCH393255:LCV393255 LMD393255:LMR393255 LVZ393255:LWN393255 MFV393255:MGJ393255 MPR393255:MQF393255 MZN393255:NAB393255 NJJ393255:NJX393255 NTF393255:NTT393255 ODB393255:ODP393255 OMX393255:ONL393255 OWT393255:OXH393255 PGP393255:PHD393255 PQL393255:PQZ393255 QAH393255:QAV393255 QKD393255:QKR393255 QTZ393255:QUN393255 RDV393255:REJ393255 RNR393255:ROF393255 RXN393255:RYB393255 SHJ393255:SHX393255 SRF393255:SRT393255 TBB393255:TBP393255 TKX393255:TLL393255 TUT393255:TVH393255 UEP393255:UFD393255 UOL393255:UOZ393255 UYH393255:UYV393255 VID393255:VIR393255 VRZ393255:VSN393255 WBV393255:WCJ393255 WLR393255:WMF393255 WVN393255:WWB393255 F458791:T458791 JB458791:JP458791 SX458791:TL458791 ACT458791:ADH458791 AMP458791:AND458791 AWL458791:AWZ458791 BGH458791:BGV458791 BQD458791:BQR458791 BZZ458791:CAN458791 CJV458791:CKJ458791 CTR458791:CUF458791 DDN458791:DEB458791 DNJ458791:DNX458791 DXF458791:DXT458791 EHB458791:EHP458791 EQX458791:ERL458791 FAT458791:FBH458791 FKP458791:FLD458791 FUL458791:FUZ458791 GEH458791:GEV458791 GOD458791:GOR458791 GXZ458791:GYN458791 HHV458791:HIJ458791 HRR458791:HSF458791 IBN458791:ICB458791 ILJ458791:ILX458791 IVF458791:IVT458791 JFB458791:JFP458791 JOX458791:JPL458791 JYT458791:JZH458791 KIP458791:KJD458791 KSL458791:KSZ458791 LCH458791:LCV458791 LMD458791:LMR458791 LVZ458791:LWN458791 MFV458791:MGJ458791 MPR458791:MQF458791 MZN458791:NAB458791 NJJ458791:NJX458791 NTF458791:NTT458791 ODB458791:ODP458791 OMX458791:ONL458791 OWT458791:OXH458791 PGP458791:PHD458791 PQL458791:PQZ458791 QAH458791:QAV458791 QKD458791:QKR458791 QTZ458791:QUN458791 RDV458791:REJ458791 RNR458791:ROF458791 RXN458791:RYB458791 SHJ458791:SHX458791 SRF458791:SRT458791 TBB458791:TBP458791 TKX458791:TLL458791 TUT458791:TVH458791 UEP458791:UFD458791 UOL458791:UOZ458791 UYH458791:UYV458791 VID458791:VIR458791 VRZ458791:VSN458791 WBV458791:WCJ458791 WLR458791:WMF458791 WVN458791:WWB458791 F524327:T524327 JB524327:JP524327 SX524327:TL524327 ACT524327:ADH524327 AMP524327:AND524327 AWL524327:AWZ524327 BGH524327:BGV524327 BQD524327:BQR524327 BZZ524327:CAN524327 CJV524327:CKJ524327 CTR524327:CUF524327 DDN524327:DEB524327 DNJ524327:DNX524327 DXF524327:DXT524327 EHB524327:EHP524327 EQX524327:ERL524327 FAT524327:FBH524327 FKP524327:FLD524327 FUL524327:FUZ524327 GEH524327:GEV524327 GOD524327:GOR524327 GXZ524327:GYN524327 HHV524327:HIJ524327 HRR524327:HSF524327 IBN524327:ICB524327 ILJ524327:ILX524327 IVF524327:IVT524327 JFB524327:JFP524327 JOX524327:JPL524327 JYT524327:JZH524327 KIP524327:KJD524327 KSL524327:KSZ524327 LCH524327:LCV524327 LMD524327:LMR524327 LVZ524327:LWN524327 MFV524327:MGJ524327 MPR524327:MQF524327 MZN524327:NAB524327 NJJ524327:NJX524327 NTF524327:NTT524327 ODB524327:ODP524327 OMX524327:ONL524327 OWT524327:OXH524327 PGP524327:PHD524327 PQL524327:PQZ524327 QAH524327:QAV524327 QKD524327:QKR524327 QTZ524327:QUN524327 RDV524327:REJ524327 RNR524327:ROF524327 RXN524327:RYB524327 SHJ524327:SHX524327 SRF524327:SRT524327 TBB524327:TBP524327 TKX524327:TLL524327 TUT524327:TVH524327 UEP524327:UFD524327 UOL524327:UOZ524327 UYH524327:UYV524327 VID524327:VIR524327 VRZ524327:VSN524327 WBV524327:WCJ524327 WLR524327:WMF524327 WVN524327:WWB524327 F589863:T589863 JB589863:JP589863 SX589863:TL589863 ACT589863:ADH589863 AMP589863:AND589863 AWL589863:AWZ589863 BGH589863:BGV589863 BQD589863:BQR589863 BZZ589863:CAN589863 CJV589863:CKJ589863 CTR589863:CUF589863 DDN589863:DEB589863 DNJ589863:DNX589863 DXF589863:DXT589863 EHB589863:EHP589863 EQX589863:ERL589863 FAT589863:FBH589863 FKP589863:FLD589863 FUL589863:FUZ589863 GEH589863:GEV589863 GOD589863:GOR589863 GXZ589863:GYN589863 HHV589863:HIJ589863 HRR589863:HSF589863 IBN589863:ICB589863 ILJ589863:ILX589863 IVF589863:IVT589863 JFB589863:JFP589863 JOX589863:JPL589863 JYT589863:JZH589863 KIP589863:KJD589863 KSL589863:KSZ589863 LCH589863:LCV589863 LMD589863:LMR589863 LVZ589863:LWN589863 MFV589863:MGJ589863 MPR589863:MQF589863 MZN589863:NAB589863 NJJ589863:NJX589863 NTF589863:NTT589863 ODB589863:ODP589863 OMX589863:ONL589863 OWT589863:OXH589863 PGP589863:PHD589863 PQL589863:PQZ589863 QAH589863:QAV589863 QKD589863:QKR589863 QTZ589863:QUN589863 RDV589863:REJ589863 RNR589863:ROF589863 RXN589863:RYB589863 SHJ589863:SHX589863 SRF589863:SRT589863 TBB589863:TBP589863 TKX589863:TLL589863 TUT589863:TVH589863 UEP589863:UFD589863 UOL589863:UOZ589863 UYH589863:UYV589863 VID589863:VIR589863 VRZ589863:VSN589863 WBV589863:WCJ589863 WLR589863:WMF589863 WVN589863:WWB589863 F655399:T655399 JB655399:JP655399 SX655399:TL655399 ACT655399:ADH655399 AMP655399:AND655399 AWL655399:AWZ655399 BGH655399:BGV655399 BQD655399:BQR655399 BZZ655399:CAN655399 CJV655399:CKJ655399 CTR655399:CUF655399 DDN655399:DEB655399 DNJ655399:DNX655399 DXF655399:DXT655399 EHB655399:EHP655399 EQX655399:ERL655399 FAT655399:FBH655399 FKP655399:FLD655399 FUL655399:FUZ655399 GEH655399:GEV655399 GOD655399:GOR655399 GXZ655399:GYN655399 HHV655399:HIJ655399 HRR655399:HSF655399 IBN655399:ICB655399 ILJ655399:ILX655399 IVF655399:IVT655399 JFB655399:JFP655399 JOX655399:JPL655399 JYT655399:JZH655399 KIP655399:KJD655399 KSL655399:KSZ655399 LCH655399:LCV655399 LMD655399:LMR655399 LVZ655399:LWN655399 MFV655399:MGJ655399 MPR655399:MQF655399 MZN655399:NAB655399 NJJ655399:NJX655399 NTF655399:NTT655399 ODB655399:ODP655399 OMX655399:ONL655399 OWT655399:OXH655399 PGP655399:PHD655399 PQL655399:PQZ655399 QAH655399:QAV655399 QKD655399:QKR655399 QTZ655399:QUN655399 RDV655399:REJ655399 RNR655399:ROF655399 RXN655399:RYB655399 SHJ655399:SHX655399 SRF655399:SRT655399 TBB655399:TBP655399 TKX655399:TLL655399 TUT655399:TVH655399 UEP655399:UFD655399 UOL655399:UOZ655399 UYH655399:UYV655399 VID655399:VIR655399 VRZ655399:VSN655399 WBV655399:WCJ655399 WLR655399:WMF655399 WVN655399:WWB655399 F720935:T720935 JB720935:JP720935 SX720935:TL720935 ACT720935:ADH720935 AMP720935:AND720935 AWL720935:AWZ720935 BGH720935:BGV720935 BQD720935:BQR720935 BZZ720935:CAN720935 CJV720935:CKJ720935 CTR720935:CUF720935 DDN720935:DEB720935 DNJ720935:DNX720935 DXF720935:DXT720935 EHB720935:EHP720935 EQX720935:ERL720935 FAT720935:FBH720935 FKP720935:FLD720935 FUL720935:FUZ720935 GEH720935:GEV720935 GOD720935:GOR720935 GXZ720935:GYN720935 HHV720935:HIJ720935 HRR720935:HSF720935 IBN720935:ICB720935 ILJ720935:ILX720935 IVF720935:IVT720935 JFB720935:JFP720935 JOX720935:JPL720935 JYT720935:JZH720935 KIP720935:KJD720935 KSL720935:KSZ720935 LCH720935:LCV720935 LMD720935:LMR720935 LVZ720935:LWN720935 MFV720935:MGJ720935 MPR720935:MQF720935 MZN720935:NAB720935 NJJ720935:NJX720935 NTF720935:NTT720935 ODB720935:ODP720935 OMX720935:ONL720935 OWT720935:OXH720935 PGP720935:PHD720935 PQL720935:PQZ720935 QAH720935:QAV720935 QKD720935:QKR720935 QTZ720935:QUN720935 RDV720935:REJ720935 RNR720935:ROF720935 RXN720935:RYB720935 SHJ720935:SHX720935 SRF720935:SRT720935 TBB720935:TBP720935 TKX720935:TLL720935 TUT720935:TVH720935 UEP720935:UFD720935 UOL720935:UOZ720935 UYH720935:UYV720935 VID720935:VIR720935 VRZ720935:VSN720935 WBV720935:WCJ720935 WLR720935:WMF720935 WVN720935:WWB720935 F786471:T786471 JB786471:JP786471 SX786471:TL786471 ACT786471:ADH786471 AMP786471:AND786471 AWL786471:AWZ786471 BGH786471:BGV786471 BQD786471:BQR786471 BZZ786471:CAN786471 CJV786471:CKJ786471 CTR786471:CUF786471 DDN786471:DEB786471 DNJ786471:DNX786471 DXF786471:DXT786471 EHB786471:EHP786471 EQX786471:ERL786471 FAT786471:FBH786471 FKP786471:FLD786471 FUL786471:FUZ786471 GEH786471:GEV786471 GOD786471:GOR786471 GXZ786471:GYN786471 HHV786471:HIJ786471 HRR786471:HSF786471 IBN786471:ICB786471 ILJ786471:ILX786471 IVF786471:IVT786471 JFB786471:JFP786471 JOX786471:JPL786471 JYT786471:JZH786471 KIP786471:KJD786471 KSL786471:KSZ786471 LCH786471:LCV786471 LMD786471:LMR786471 LVZ786471:LWN786471 MFV786471:MGJ786471 MPR786471:MQF786471 MZN786471:NAB786471 NJJ786471:NJX786471 NTF786471:NTT786471 ODB786471:ODP786471 OMX786471:ONL786471 OWT786471:OXH786471 PGP786471:PHD786471 PQL786471:PQZ786471 QAH786471:QAV786471 QKD786471:QKR786471 QTZ786471:QUN786471 RDV786471:REJ786471 RNR786471:ROF786471 RXN786471:RYB786471 SHJ786471:SHX786471 SRF786471:SRT786471 TBB786471:TBP786471 TKX786471:TLL786471 TUT786471:TVH786471 UEP786471:UFD786471 UOL786471:UOZ786471 UYH786471:UYV786471 VID786471:VIR786471 VRZ786471:VSN786471 WBV786471:WCJ786471 WLR786471:WMF786471 WVN786471:WWB786471 F852007:T852007 JB852007:JP852007 SX852007:TL852007 ACT852007:ADH852007 AMP852007:AND852007 AWL852007:AWZ852007 BGH852007:BGV852007 BQD852007:BQR852007 BZZ852007:CAN852007 CJV852007:CKJ852007 CTR852007:CUF852007 DDN852007:DEB852007 DNJ852007:DNX852007 DXF852007:DXT852007 EHB852007:EHP852007 EQX852007:ERL852007 FAT852007:FBH852007 FKP852007:FLD852007 FUL852007:FUZ852007 GEH852007:GEV852007 GOD852007:GOR852007 GXZ852007:GYN852007 HHV852007:HIJ852007 HRR852007:HSF852007 IBN852007:ICB852007 ILJ852007:ILX852007 IVF852007:IVT852007 JFB852007:JFP852007 JOX852007:JPL852007 JYT852007:JZH852007 KIP852007:KJD852007 KSL852007:KSZ852007 LCH852007:LCV852007 LMD852007:LMR852007 LVZ852007:LWN852007 MFV852007:MGJ852007 MPR852007:MQF852007 MZN852007:NAB852007 NJJ852007:NJX852007 NTF852007:NTT852007 ODB852007:ODP852007 OMX852007:ONL852007 OWT852007:OXH852007 PGP852007:PHD852007 PQL852007:PQZ852007 QAH852007:QAV852007 QKD852007:QKR852007 QTZ852007:QUN852007 RDV852007:REJ852007 RNR852007:ROF852007 RXN852007:RYB852007 SHJ852007:SHX852007 SRF852007:SRT852007 TBB852007:TBP852007 TKX852007:TLL852007 TUT852007:TVH852007 UEP852007:UFD852007 UOL852007:UOZ852007 UYH852007:UYV852007 VID852007:VIR852007 VRZ852007:VSN852007 WBV852007:WCJ852007 WLR852007:WMF852007 WVN852007:WWB852007 F917543:T917543 JB917543:JP917543 SX917543:TL917543 ACT917543:ADH917543 AMP917543:AND917543 AWL917543:AWZ917543 BGH917543:BGV917543 BQD917543:BQR917543 BZZ917543:CAN917543 CJV917543:CKJ917543 CTR917543:CUF917543 DDN917543:DEB917543 DNJ917543:DNX917543 DXF917543:DXT917543 EHB917543:EHP917543 EQX917543:ERL917543 FAT917543:FBH917543 FKP917543:FLD917543 FUL917543:FUZ917543 GEH917543:GEV917543 GOD917543:GOR917543 GXZ917543:GYN917543 HHV917543:HIJ917543 HRR917543:HSF917543 IBN917543:ICB917543 ILJ917543:ILX917543 IVF917543:IVT917543 JFB917543:JFP917543 JOX917543:JPL917543 JYT917543:JZH917543 KIP917543:KJD917543 KSL917543:KSZ917543 LCH917543:LCV917543 LMD917543:LMR917543 LVZ917543:LWN917543 MFV917543:MGJ917543 MPR917543:MQF917543 MZN917543:NAB917543 NJJ917543:NJX917543 NTF917543:NTT917543 ODB917543:ODP917543 OMX917543:ONL917543 OWT917543:OXH917543 PGP917543:PHD917543 PQL917543:PQZ917543 QAH917543:QAV917543 QKD917543:QKR917543 QTZ917543:QUN917543 RDV917543:REJ917543 RNR917543:ROF917543 RXN917543:RYB917543 SHJ917543:SHX917543 SRF917543:SRT917543 TBB917543:TBP917543 TKX917543:TLL917543 TUT917543:TVH917543 UEP917543:UFD917543 UOL917543:UOZ917543 UYH917543:UYV917543 VID917543:VIR917543 VRZ917543:VSN917543 WBV917543:WCJ917543 WLR917543:WMF917543 WVN917543:WWB917543 F983079:T983079 JB983079:JP983079 SX983079:TL983079 ACT983079:ADH983079 AMP983079:AND983079 AWL983079:AWZ983079 BGH983079:BGV983079 BQD983079:BQR983079 BZZ983079:CAN983079 CJV983079:CKJ983079 CTR983079:CUF983079 DDN983079:DEB983079 DNJ983079:DNX983079 DXF983079:DXT983079 EHB983079:EHP983079 EQX983079:ERL983079 FAT983079:FBH983079 FKP983079:FLD983079 FUL983079:FUZ983079 GEH983079:GEV983079 GOD983079:GOR983079 GXZ983079:GYN983079 HHV983079:HIJ983079 HRR983079:HSF983079 IBN983079:ICB983079 ILJ983079:ILX983079 IVF983079:IVT983079 JFB983079:JFP983079 JOX983079:JPL983079 JYT983079:JZH983079 KIP983079:KJD983079 KSL983079:KSZ983079 LCH983079:LCV983079 LMD983079:LMR983079 LVZ983079:LWN983079 MFV983079:MGJ983079 MPR983079:MQF983079 MZN983079:NAB983079 NJJ983079:NJX983079 NTF983079:NTT983079 ODB983079:ODP983079 OMX983079:ONL983079 OWT983079:OXH983079 PGP983079:PHD983079 PQL983079:PQZ983079 QAH983079:QAV983079 QKD983079:QKR983079 QTZ983079:QUN983079 RDV983079:REJ983079 RNR983079:ROF983079 RXN983079:RYB983079 SHJ983079:SHX983079 SRF983079:SRT983079 TBB983079:TBP983079 TKX983079:TLL983079 TUT983079:TVH983079 UEP983079:UFD983079 UOL983079:UOZ983079 UYH983079:UYV983079 VID983079:VIR983079 VRZ983079:VSN983079 WBV983079:WCJ983079 WLR983079:WMF983079 WVN983079:WWB983079">
      <formula1>"N,A,B, "</formula1>
    </dataValidation>
    <dataValidation type="list" allowBlank="1" showInputMessage="1" showErrorMessage="1" sqref="F40:T40 JB40:JP40 SX40:TL40 ACT40:ADH40 AMP40:AND40 AWL40:AWZ40 BGH40:BGV40 BQD40:BQR40 BZZ40:CAN40 CJV40:CKJ40 CTR40:CUF40 DDN40:DEB40 DNJ40:DNX40 DXF40:DXT40 EHB40:EHP40 EQX40:ERL40 FAT40:FBH40 FKP40:FLD40 FUL40:FUZ40 GEH40:GEV40 GOD40:GOR40 GXZ40:GYN40 HHV40:HIJ40 HRR40:HSF40 IBN40:ICB40 ILJ40:ILX40 IVF40:IVT40 JFB40:JFP40 JOX40:JPL40 JYT40:JZH40 KIP40:KJD40 KSL40:KSZ40 LCH40:LCV40 LMD40:LMR40 LVZ40:LWN40 MFV40:MGJ40 MPR40:MQF40 MZN40:NAB40 NJJ40:NJX40 NTF40:NTT40 ODB40:ODP40 OMX40:ONL40 OWT40:OXH40 PGP40:PHD40 PQL40:PQZ40 QAH40:QAV40 QKD40:QKR40 QTZ40:QUN40 RDV40:REJ40 RNR40:ROF40 RXN40:RYB40 SHJ40:SHX40 SRF40:SRT40 TBB40:TBP40 TKX40:TLL40 TUT40:TVH40 UEP40:UFD40 UOL40:UOZ40 UYH40:UYV40 VID40:VIR40 VRZ40:VSN40 WBV40:WCJ40 WLR40:WMF40 WVN40:WWB40 F65576:T65576 JB65576:JP65576 SX65576:TL65576 ACT65576:ADH65576 AMP65576:AND65576 AWL65576:AWZ65576 BGH65576:BGV65576 BQD65576:BQR65576 BZZ65576:CAN65576 CJV65576:CKJ65576 CTR65576:CUF65576 DDN65576:DEB65576 DNJ65576:DNX65576 DXF65576:DXT65576 EHB65576:EHP65576 EQX65576:ERL65576 FAT65576:FBH65576 FKP65576:FLD65576 FUL65576:FUZ65576 GEH65576:GEV65576 GOD65576:GOR65576 GXZ65576:GYN65576 HHV65576:HIJ65576 HRR65576:HSF65576 IBN65576:ICB65576 ILJ65576:ILX65576 IVF65576:IVT65576 JFB65576:JFP65576 JOX65576:JPL65576 JYT65576:JZH65576 KIP65576:KJD65576 KSL65576:KSZ65576 LCH65576:LCV65576 LMD65576:LMR65576 LVZ65576:LWN65576 MFV65576:MGJ65576 MPR65576:MQF65576 MZN65576:NAB65576 NJJ65576:NJX65576 NTF65576:NTT65576 ODB65576:ODP65576 OMX65576:ONL65576 OWT65576:OXH65576 PGP65576:PHD65576 PQL65576:PQZ65576 QAH65576:QAV65576 QKD65576:QKR65576 QTZ65576:QUN65576 RDV65576:REJ65576 RNR65576:ROF65576 RXN65576:RYB65576 SHJ65576:SHX65576 SRF65576:SRT65576 TBB65576:TBP65576 TKX65576:TLL65576 TUT65576:TVH65576 UEP65576:UFD65576 UOL65576:UOZ65576 UYH65576:UYV65576 VID65576:VIR65576 VRZ65576:VSN65576 WBV65576:WCJ65576 WLR65576:WMF65576 WVN65576:WWB65576 F131112:T131112 JB131112:JP131112 SX131112:TL131112 ACT131112:ADH131112 AMP131112:AND131112 AWL131112:AWZ131112 BGH131112:BGV131112 BQD131112:BQR131112 BZZ131112:CAN131112 CJV131112:CKJ131112 CTR131112:CUF131112 DDN131112:DEB131112 DNJ131112:DNX131112 DXF131112:DXT131112 EHB131112:EHP131112 EQX131112:ERL131112 FAT131112:FBH131112 FKP131112:FLD131112 FUL131112:FUZ131112 GEH131112:GEV131112 GOD131112:GOR131112 GXZ131112:GYN131112 HHV131112:HIJ131112 HRR131112:HSF131112 IBN131112:ICB131112 ILJ131112:ILX131112 IVF131112:IVT131112 JFB131112:JFP131112 JOX131112:JPL131112 JYT131112:JZH131112 KIP131112:KJD131112 KSL131112:KSZ131112 LCH131112:LCV131112 LMD131112:LMR131112 LVZ131112:LWN131112 MFV131112:MGJ131112 MPR131112:MQF131112 MZN131112:NAB131112 NJJ131112:NJX131112 NTF131112:NTT131112 ODB131112:ODP131112 OMX131112:ONL131112 OWT131112:OXH131112 PGP131112:PHD131112 PQL131112:PQZ131112 QAH131112:QAV131112 QKD131112:QKR131112 QTZ131112:QUN131112 RDV131112:REJ131112 RNR131112:ROF131112 RXN131112:RYB131112 SHJ131112:SHX131112 SRF131112:SRT131112 TBB131112:TBP131112 TKX131112:TLL131112 TUT131112:TVH131112 UEP131112:UFD131112 UOL131112:UOZ131112 UYH131112:UYV131112 VID131112:VIR131112 VRZ131112:VSN131112 WBV131112:WCJ131112 WLR131112:WMF131112 WVN131112:WWB131112 F196648:T196648 JB196648:JP196648 SX196648:TL196648 ACT196648:ADH196648 AMP196648:AND196648 AWL196648:AWZ196648 BGH196648:BGV196648 BQD196648:BQR196648 BZZ196648:CAN196648 CJV196648:CKJ196648 CTR196648:CUF196648 DDN196648:DEB196648 DNJ196648:DNX196648 DXF196648:DXT196648 EHB196648:EHP196648 EQX196648:ERL196648 FAT196648:FBH196648 FKP196648:FLD196648 FUL196648:FUZ196648 GEH196648:GEV196648 GOD196648:GOR196648 GXZ196648:GYN196648 HHV196648:HIJ196648 HRR196648:HSF196648 IBN196648:ICB196648 ILJ196648:ILX196648 IVF196648:IVT196648 JFB196648:JFP196648 JOX196648:JPL196648 JYT196648:JZH196648 KIP196648:KJD196648 KSL196648:KSZ196648 LCH196648:LCV196648 LMD196648:LMR196648 LVZ196648:LWN196648 MFV196648:MGJ196648 MPR196648:MQF196648 MZN196648:NAB196648 NJJ196648:NJX196648 NTF196648:NTT196648 ODB196648:ODP196648 OMX196648:ONL196648 OWT196648:OXH196648 PGP196648:PHD196648 PQL196648:PQZ196648 QAH196648:QAV196648 QKD196648:QKR196648 QTZ196648:QUN196648 RDV196648:REJ196648 RNR196648:ROF196648 RXN196648:RYB196648 SHJ196648:SHX196648 SRF196648:SRT196648 TBB196648:TBP196648 TKX196648:TLL196648 TUT196648:TVH196648 UEP196648:UFD196648 UOL196648:UOZ196648 UYH196648:UYV196648 VID196648:VIR196648 VRZ196648:VSN196648 WBV196648:WCJ196648 WLR196648:WMF196648 WVN196648:WWB196648 F262184:T262184 JB262184:JP262184 SX262184:TL262184 ACT262184:ADH262184 AMP262184:AND262184 AWL262184:AWZ262184 BGH262184:BGV262184 BQD262184:BQR262184 BZZ262184:CAN262184 CJV262184:CKJ262184 CTR262184:CUF262184 DDN262184:DEB262184 DNJ262184:DNX262184 DXF262184:DXT262184 EHB262184:EHP262184 EQX262184:ERL262184 FAT262184:FBH262184 FKP262184:FLD262184 FUL262184:FUZ262184 GEH262184:GEV262184 GOD262184:GOR262184 GXZ262184:GYN262184 HHV262184:HIJ262184 HRR262184:HSF262184 IBN262184:ICB262184 ILJ262184:ILX262184 IVF262184:IVT262184 JFB262184:JFP262184 JOX262184:JPL262184 JYT262184:JZH262184 KIP262184:KJD262184 KSL262184:KSZ262184 LCH262184:LCV262184 LMD262184:LMR262184 LVZ262184:LWN262184 MFV262184:MGJ262184 MPR262184:MQF262184 MZN262184:NAB262184 NJJ262184:NJX262184 NTF262184:NTT262184 ODB262184:ODP262184 OMX262184:ONL262184 OWT262184:OXH262184 PGP262184:PHD262184 PQL262184:PQZ262184 QAH262184:QAV262184 QKD262184:QKR262184 QTZ262184:QUN262184 RDV262184:REJ262184 RNR262184:ROF262184 RXN262184:RYB262184 SHJ262184:SHX262184 SRF262184:SRT262184 TBB262184:TBP262184 TKX262184:TLL262184 TUT262184:TVH262184 UEP262184:UFD262184 UOL262184:UOZ262184 UYH262184:UYV262184 VID262184:VIR262184 VRZ262184:VSN262184 WBV262184:WCJ262184 WLR262184:WMF262184 WVN262184:WWB262184 F327720:T327720 JB327720:JP327720 SX327720:TL327720 ACT327720:ADH327720 AMP327720:AND327720 AWL327720:AWZ327720 BGH327720:BGV327720 BQD327720:BQR327720 BZZ327720:CAN327720 CJV327720:CKJ327720 CTR327720:CUF327720 DDN327720:DEB327720 DNJ327720:DNX327720 DXF327720:DXT327720 EHB327720:EHP327720 EQX327720:ERL327720 FAT327720:FBH327720 FKP327720:FLD327720 FUL327720:FUZ327720 GEH327720:GEV327720 GOD327720:GOR327720 GXZ327720:GYN327720 HHV327720:HIJ327720 HRR327720:HSF327720 IBN327720:ICB327720 ILJ327720:ILX327720 IVF327720:IVT327720 JFB327720:JFP327720 JOX327720:JPL327720 JYT327720:JZH327720 KIP327720:KJD327720 KSL327720:KSZ327720 LCH327720:LCV327720 LMD327720:LMR327720 LVZ327720:LWN327720 MFV327720:MGJ327720 MPR327720:MQF327720 MZN327720:NAB327720 NJJ327720:NJX327720 NTF327720:NTT327720 ODB327720:ODP327720 OMX327720:ONL327720 OWT327720:OXH327720 PGP327720:PHD327720 PQL327720:PQZ327720 QAH327720:QAV327720 QKD327720:QKR327720 QTZ327720:QUN327720 RDV327720:REJ327720 RNR327720:ROF327720 RXN327720:RYB327720 SHJ327720:SHX327720 SRF327720:SRT327720 TBB327720:TBP327720 TKX327720:TLL327720 TUT327720:TVH327720 UEP327720:UFD327720 UOL327720:UOZ327720 UYH327720:UYV327720 VID327720:VIR327720 VRZ327720:VSN327720 WBV327720:WCJ327720 WLR327720:WMF327720 WVN327720:WWB327720 F393256:T393256 JB393256:JP393256 SX393256:TL393256 ACT393256:ADH393256 AMP393256:AND393256 AWL393256:AWZ393256 BGH393256:BGV393256 BQD393256:BQR393256 BZZ393256:CAN393256 CJV393256:CKJ393256 CTR393256:CUF393256 DDN393256:DEB393256 DNJ393256:DNX393256 DXF393256:DXT393256 EHB393256:EHP393256 EQX393256:ERL393256 FAT393256:FBH393256 FKP393256:FLD393256 FUL393256:FUZ393256 GEH393256:GEV393256 GOD393256:GOR393256 GXZ393256:GYN393256 HHV393256:HIJ393256 HRR393256:HSF393256 IBN393256:ICB393256 ILJ393256:ILX393256 IVF393256:IVT393256 JFB393256:JFP393256 JOX393256:JPL393256 JYT393256:JZH393256 KIP393256:KJD393256 KSL393256:KSZ393256 LCH393256:LCV393256 LMD393256:LMR393256 LVZ393256:LWN393256 MFV393256:MGJ393256 MPR393256:MQF393256 MZN393256:NAB393256 NJJ393256:NJX393256 NTF393256:NTT393256 ODB393256:ODP393256 OMX393256:ONL393256 OWT393256:OXH393256 PGP393256:PHD393256 PQL393256:PQZ393256 QAH393256:QAV393256 QKD393256:QKR393256 QTZ393256:QUN393256 RDV393256:REJ393256 RNR393256:ROF393256 RXN393256:RYB393256 SHJ393256:SHX393256 SRF393256:SRT393256 TBB393256:TBP393256 TKX393256:TLL393256 TUT393256:TVH393256 UEP393256:UFD393256 UOL393256:UOZ393256 UYH393256:UYV393256 VID393256:VIR393256 VRZ393256:VSN393256 WBV393256:WCJ393256 WLR393256:WMF393256 WVN393256:WWB393256 F458792:T458792 JB458792:JP458792 SX458792:TL458792 ACT458792:ADH458792 AMP458792:AND458792 AWL458792:AWZ458792 BGH458792:BGV458792 BQD458792:BQR458792 BZZ458792:CAN458792 CJV458792:CKJ458792 CTR458792:CUF458792 DDN458792:DEB458792 DNJ458792:DNX458792 DXF458792:DXT458792 EHB458792:EHP458792 EQX458792:ERL458792 FAT458792:FBH458792 FKP458792:FLD458792 FUL458792:FUZ458792 GEH458792:GEV458792 GOD458792:GOR458792 GXZ458792:GYN458792 HHV458792:HIJ458792 HRR458792:HSF458792 IBN458792:ICB458792 ILJ458792:ILX458792 IVF458792:IVT458792 JFB458792:JFP458792 JOX458792:JPL458792 JYT458792:JZH458792 KIP458792:KJD458792 KSL458792:KSZ458792 LCH458792:LCV458792 LMD458792:LMR458792 LVZ458792:LWN458792 MFV458792:MGJ458792 MPR458792:MQF458792 MZN458792:NAB458792 NJJ458792:NJX458792 NTF458792:NTT458792 ODB458792:ODP458792 OMX458792:ONL458792 OWT458792:OXH458792 PGP458792:PHD458792 PQL458792:PQZ458792 QAH458792:QAV458792 QKD458792:QKR458792 QTZ458792:QUN458792 RDV458792:REJ458792 RNR458792:ROF458792 RXN458792:RYB458792 SHJ458792:SHX458792 SRF458792:SRT458792 TBB458792:TBP458792 TKX458792:TLL458792 TUT458792:TVH458792 UEP458792:UFD458792 UOL458792:UOZ458792 UYH458792:UYV458792 VID458792:VIR458792 VRZ458792:VSN458792 WBV458792:WCJ458792 WLR458792:WMF458792 WVN458792:WWB458792 F524328:T524328 JB524328:JP524328 SX524328:TL524328 ACT524328:ADH524328 AMP524328:AND524328 AWL524328:AWZ524328 BGH524328:BGV524328 BQD524328:BQR524328 BZZ524328:CAN524328 CJV524328:CKJ524328 CTR524328:CUF524328 DDN524328:DEB524328 DNJ524328:DNX524328 DXF524328:DXT524328 EHB524328:EHP524328 EQX524328:ERL524328 FAT524328:FBH524328 FKP524328:FLD524328 FUL524328:FUZ524328 GEH524328:GEV524328 GOD524328:GOR524328 GXZ524328:GYN524328 HHV524328:HIJ524328 HRR524328:HSF524328 IBN524328:ICB524328 ILJ524328:ILX524328 IVF524328:IVT524328 JFB524328:JFP524328 JOX524328:JPL524328 JYT524328:JZH524328 KIP524328:KJD524328 KSL524328:KSZ524328 LCH524328:LCV524328 LMD524328:LMR524328 LVZ524328:LWN524328 MFV524328:MGJ524328 MPR524328:MQF524328 MZN524328:NAB524328 NJJ524328:NJX524328 NTF524328:NTT524328 ODB524328:ODP524328 OMX524328:ONL524328 OWT524328:OXH524328 PGP524328:PHD524328 PQL524328:PQZ524328 QAH524328:QAV524328 QKD524328:QKR524328 QTZ524328:QUN524328 RDV524328:REJ524328 RNR524328:ROF524328 RXN524328:RYB524328 SHJ524328:SHX524328 SRF524328:SRT524328 TBB524328:TBP524328 TKX524328:TLL524328 TUT524328:TVH524328 UEP524328:UFD524328 UOL524328:UOZ524328 UYH524328:UYV524328 VID524328:VIR524328 VRZ524328:VSN524328 WBV524328:WCJ524328 WLR524328:WMF524328 WVN524328:WWB524328 F589864:T589864 JB589864:JP589864 SX589864:TL589864 ACT589864:ADH589864 AMP589864:AND589864 AWL589864:AWZ589864 BGH589864:BGV589864 BQD589864:BQR589864 BZZ589864:CAN589864 CJV589864:CKJ589864 CTR589864:CUF589864 DDN589864:DEB589864 DNJ589864:DNX589864 DXF589864:DXT589864 EHB589864:EHP589864 EQX589864:ERL589864 FAT589864:FBH589864 FKP589864:FLD589864 FUL589864:FUZ589864 GEH589864:GEV589864 GOD589864:GOR589864 GXZ589864:GYN589864 HHV589864:HIJ589864 HRR589864:HSF589864 IBN589864:ICB589864 ILJ589864:ILX589864 IVF589864:IVT589864 JFB589864:JFP589864 JOX589864:JPL589864 JYT589864:JZH589864 KIP589864:KJD589864 KSL589864:KSZ589864 LCH589864:LCV589864 LMD589864:LMR589864 LVZ589864:LWN589864 MFV589864:MGJ589864 MPR589864:MQF589864 MZN589864:NAB589864 NJJ589864:NJX589864 NTF589864:NTT589864 ODB589864:ODP589864 OMX589864:ONL589864 OWT589864:OXH589864 PGP589864:PHD589864 PQL589864:PQZ589864 QAH589864:QAV589864 QKD589864:QKR589864 QTZ589864:QUN589864 RDV589864:REJ589864 RNR589864:ROF589864 RXN589864:RYB589864 SHJ589864:SHX589864 SRF589864:SRT589864 TBB589864:TBP589864 TKX589864:TLL589864 TUT589864:TVH589864 UEP589864:UFD589864 UOL589864:UOZ589864 UYH589864:UYV589864 VID589864:VIR589864 VRZ589864:VSN589864 WBV589864:WCJ589864 WLR589864:WMF589864 WVN589864:WWB589864 F655400:T655400 JB655400:JP655400 SX655400:TL655400 ACT655400:ADH655400 AMP655400:AND655400 AWL655400:AWZ655400 BGH655400:BGV655400 BQD655400:BQR655400 BZZ655400:CAN655400 CJV655400:CKJ655400 CTR655400:CUF655400 DDN655400:DEB655400 DNJ655400:DNX655400 DXF655400:DXT655400 EHB655400:EHP655400 EQX655400:ERL655400 FAT655400:FBH655400 FKP655400:FLD655400 FUL655400:FUZ655400 GEH655400:GEV655400 GOD655400:GOR655400 GXZ655400:GYN655400 HHV655400:HIJ655400 HRR655400:HSF655400 IBN655400:ICB655400 ILJ655400:ILX655400 IVF655400:IVT655400 JFB655400:JFP655400 JOX655400:JPL655400 JYT655400:JZH655400 KIP655400:KJD655400 KSL655400:KSZ655400 LCH655400:LCV655400 LMD655400:LMR655400 LVZ655400:LWN655400 MFV655400:MGJ655400 MPR655400:MQF655400 MZN655400:NAB655400 NJJ655400:NJX655400 NTF655400:NTT655400 ODB655400:ODP655400 OMX655400:ONL655400 OWT655400:OXH655400 PGP655400:PHD655400 PQL655400:PQZ655400 QAH655400:QAV655400 QKD655400:QKR655400 QTZ655400:QUN655400 RDV655400:REJ655400 RNR655400:ROF655400 RXN655400:RYB655400 SHJ655400:SHX655400 SRF655400:SRT655400 TBB655400:TBP655400 TKX655400:TLL655400 TUT655400:TVH655400 UEP655400:UFD655400 UOL655400:UOZ655400 UYH655400:UYV655400 VID655400:VIR655400 VRZ655400:VSN655400 WBV655400:WCJ655400 WLR655400:WMF655400 WVN655400:WWB655400 F720936:T720936 JB720936:JP720936 SX720936:TL720936 ACT720936:ADH720936 AMP720936:AND720936 AWL720936:AWZ720936 BGH720936:BGV720936 BQD720936:BQR720936 BZZ720936:CAN720936 CJV720936:CKJ720936 CTR720936:CUF720936 DDN720936:DEB720936 DNJ720936:DNX720936 DXF720936:DXT720936 EHB720936:EHP720936 EQX720936:ERL720936 FAT720936:FBH720936 FKP720936:FLD720936 FUL720936:FUZ720936 GEH720936:GEV720936 GOD720936:GOR720936 GXZ720936:GYN720936 HHV720936:HIJ720936 HRR720936:HSF720936 IBN720936:ICB720936 ILJ720936:ILX720936 IVF720936:IVT720936 JFB720936:JFP720936 JOX720936:JPL720936 JYT720936:JZH720936 KIP720936:KJD720936 KSL720936:KSZ720936 LCH720936:LCV720936 LMD720936:LMR720936 LVZ720936:LWN720936 MFV720936:MGJ720936 MPR720936:MQF720936 MZN720936:NAB720936 NJJ720936:NJX720936 NTF720936:NTT720936 ODB720936:ODP720936 OMX720936:ONL720936 OWT720936:OXH720936 PGP720936:PHD720936 PQL720936:PQZ720936 QAH720936:QAV720936 QKD720936:QKR720936 QTZ720936:QUN720936 RDV720936:REJ720936 RNR720936:ROF720936 RXN720936:RYB720936 SHJ720936:SHX720936 SRF720936:SRT720936 TBB720936:TBP720936 TKX720936:TLL720936 TUT720936:TVH720936 UEP720936:UFD720936 UOL720936:UOZ720936 UYH720936:UYV720936 VID720936:VIR720936 VRZ720936:VSN720936 WBV720936:WCJ720936 WLR720936:WMF720936 WVN720936:WWB720936 F786472:T786472 JB786472:JP786472 SX786472:TL786472 ACT786472:ADH786472 AMP786472:AND786472 AWL786472:AWZ786472 BGH786472:BGV786472 BQD786472:BQR786472 BZZ786472:CAN786472 CJV786472:CKJ786472 CTR786472:CUF786472 DDN786472:DEB786472 DNJ786472:DNX786472 DXF786472:DXT786472 EHB786472:EHP786472 EQX786472:ERL786472 FAT786472:FBH786472 FKP786472:FLD786472 FUL786472:FUZ786472 GEH786472:GEV786472 GOD786472:GOR786472 GXZ786472:GYN786472 HHV786472:HIJ786472 HRR786472:HSF786472 IBN786472:ICB786472 ILJ786472:ILX786472 IVF786472:IVT786472 JFB786472:JFP786472 JOX786472:JPL786472 JYT786472:JZH786472 KIP786472:KJD786472 KSL786472:KSZ786472 LCH786472:LCV786472 LMD786472:LMR786472 LVZ786472:LWN786472 MFV786472:MGJ786472 MPR786472:MQF786472 MZN786472:NAB786472 NJJ786472:NJX786472 NTF786472:NTT786472 ODB786472:ODP786472 OMX786472:ONL786472 OWT786472:OXH786472 PGP786472:PHD786472 PQL786472:PQZ786472 QAH786472:QAV786472 QKD786472:QKR786472 QTZ786472:QUN786472 RDV786472:REJ786472 RNR786472:ROF786472 RXN786472:RYB786472 SHJ786472:SHX786472 SRF786472:SRT786472 TBB786472:TBP786472 TKX786472:TLL786472 TUT786472:TVH786472 UEP786472:UFD786472 UOL786472:UOZ786472 UYH786472:UYV786472 VID786472:VIR786472 VRZ786472:VSN786472 WBV786472:WCJ786472 WLR786472:WMF786472 WVN786472:WWB786472 F852008:T852008 JB852008:JP852008 SX852008:TL852008 ACT852008:ADH852008 AMP852008:AND852008 AWL852008:AWZ852008 BGH852008:BGV852008 BQD852008:BQR852008 BZZ852008:CAN852008 CJV852008:CKJ852008 CTR852008:CUF852008 DDN852008:DEB852008 DNJ852008:DNX852008 DXF852008:DXT852008 EHB852008:EHP852008 EQX852008:ERL852008 FAT852008:FBH852008 FKP852008:FLD852008 FUL852008:FUZ852008 GEH852008:GEV852008 GOD852008:GOR852008 GXZ852008:GYN852008 HHV852008:HIJ852008 HRR852008:HSF852008 IBN852008:ICB852008 ILJ852008:ILX852008 IVF852008:IVT852008 JFB852008:JFP852008 JOX852008:JPL852008 JYT852008:JZH852008 KIP852008:KJD852008 KSL852008:KSZ852008 LCH852008:LCV852008 LMD852008:LMR852008 LVZ852008:LWN852008 MFV852008:MGJ852008 MPR852008:MQF852008 MZN852008:NAB852008 NJJ852008:NJX852008 NTF852008:NTT852008 ODB852008:ODP852008 OMX852008:ONL852008 OWT852008:OXH852008 PGP852008:PHD852008 PQL852008:PQZ852008 QAH852008:QAV852008 QKD852008:QKR852008 QTZ852008:QUN852008 RDV852008:REJ852008 RNR852008:ROF852008 RXN852008:RYB852008 SHJ852008:SHX852008 SRF852008:SRT852008 TBB852008:TBP852008 TKX852008:TLL852008 TUT852008:TVH852008 UEP852008:UFD852008 UOL852008:UOZ852008 UYH852008:UYV852008 VID852008:VIR852008 VRZ852008:VSN852008 WBV852008:WCJ852008 WLR852008:WMF852008 WVN852008:WWB852008 F917544:T917544 JB917544:JP917544 SX917544:TL917544 ACT917544:ADH917544 AMP917544:AND917544 AWL917544:AWZ917544 BGH917544:BGV917544 BQD917544:BQR917544 BZZ917544:CAN917544 CJV917544:CKJ917544 CTR917544:CUF917544 DDN917544:DEB917544 DNJ917544:DNX917544 DXF917544:DXT917544 EHB917544:EHP917544 EQX917544:ERL917544 FAT917544:FBH917544 FKP917544:FLD917544 FUL917544:FUZ917544 GEH917544:GEV917544 GOD917544:GOR917544 GXZ917544:GYN917544 HHV917544:HIJ917544 HRR917544:HSF917544 IBN917544:ICB917544 ILJ917544:ILX917544 IVF917544:IVT917544 JFB917544:JFP917544 JOX917544:JPL917544 JYT917544:JZH917544 KIP917544:KJD917544 KSL917544:KSZ917544 LCH917544:LCV917544 LMD917544:LMR917544 LVZ917544:LWN917544 MFV917544:MGJ917544 MPR917544:MQF917544 MZN917544:NAB917544 NJJ917544:NJX917544 NTF917544:NTT917544 ODB917544:ODP917544 OMX917544:ONL917544 OWT917544:OXH917544 PGP917544:PHD917544 PQL917544:PQZ917544 QAH917544:QAV917544 QKD917544:QKR917544 QTZ917544:QUN917544 RDV917544:REJ917544 RNR917544:ROF917544 RXN917544:RYB917544 SHJ917544:SHX917544 SRF917544:SRT917544 TBB917544:TBP917544 TKX917544:TLL917544 TUT917544:TVH917544 UEP917544:UFD917544 UOL917544:UOZ917544 UYH917544:UYV917544 VID917544:VIR917544 VRZ917544:VSN917544 WBV917544:WCJ917544 WLR917544:WMF917544 WVN917544:WWB917544 F983080:T983080 JB983080:JP983080 SX983080:TL983080 ACT983080:ADH983080 AMP983080:AND983080 AWL983080:AWZ983080 BGH983080:BGV983080 BQD983080:BQR983080 BZZ983080:CAN983080 CJV983080:CKJ983080 CTR983080:CUF983080 DDN983080:DEB983080 DNJ983080:DNX983080 DXF983080:DXT983080 EHB983080:EHP983080 EQX983080:ERL983080 FAT983080:FBH983080 FKP983080:FLD983080 FUL983080:FUZ983080 GEH983080:GEV983080 GOD983080:GOR983080 GXZ983080:GYN983080 HHV983080:HIJ983080 HRR983080:HSF983080 IBN983080:ICB983080 ILJ983080:ILX983080 IVF983080:IVT983080 JFB983080:JFP983080 JOX983080:JPL983080 JYT983080:JZH983080 KIP983080:KJD983080 KSL983080:KSZ983080 LCH983080:LCV983080 LMD983080:LMR983080 LVZ983080:LWN983080 MFV983080:MGJ983080 MPR983080:MQF983080 MZN983080:NAB983080 NJJ983080:NJX983080 NTF983080:NTT983080 ODB983080:ODP983080 OMX983080:ONL983080 OWT983080:OXH983080 PGP983080:PHD983080 PQL983080:PQZ983080 QAH983080:QAV983080 QKD983080:QKR983080 QTZ983080:QUN983080 RDV983080:REJ983080 RNR983080:ROF983080 RXN983080:RYB983080 SHJ983080:SHX983080 SRF983080:SRT983080 TBB983080:TBP983080 TKX983080:TLL983080 TUT983080:TVH983080 UEP983080:UFD983080 UOL983080:UOZ983080 UYH983080:UYV983080 VID983080:VIR983080 VRZ983080:VSN983080 WBV983080:WCJ983080 WLR983080:WMF983080 WVN983080:WWB983080">
      <formula1>"P,F, "</formula1>
    </dataValidation>
  </dataValidations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C19" sqref="C19"/>
    </sheetView>
  </sheetViews>
  <sheetFormatPr defaultColWidth="9" defaultRowHeight="10.2" outlineLevelCol="7"/>
  <cols>
    <col min="1" max="1" width="8.71296296296296" style="1" customWidth="1"/>
    <col min="2" max="2" width="50.287037037037" style="1" customWidth="1"/>
    <col min="3" max="3" width="48.1388888888889" style="1" customWidth="1"/>
    <col min="4" max="5" width="37.4259259259259" style="1" customWidth="1"/>
    <col min="6" max="6" width="8.28703703703704" style="1" customWidth="1"/>
    <col min="7" max="7" width="13" style="1" customWidth="1"/>
    <col min="8" max="8" width="17.287037037037" style="1" customWidth="1"/>
    <col min="9" max="16384" width="9" style="1"/>
  </cols>
  <sheetData>
    <row r="1" ht="20.4" spans="1:8">
      <c r="A1" s="2" t="s">
        <v>65</v>
      </c>
      <c r="B1" s="2"/>
      <c r="C1" s="2"/>
      <c r="D1" s="2"/>
      <c r="E1" s="2"/>
      <c r="F1" s="2"/>
      <c r="G1" s="2"/>
      <c r="H1" s="2"/>
    </row>
    <row r="2" ht="13.8" spans="1:8">
      <c r="A2" s="3"/>
      <c r="B2" s="3"/>
      <c r="C2" s="4"/>
      <c r="D2" s="5" t="str">
        <f>"Pass: "&amp;COUNTIF($F$6:$F$942,"Pass")</f>
        <v>Pass: 0</v>
      </c>
      <c r="E2" s="6" t="str">
        <f>"Untested: "&amp;COUNTIF($F$6:$F$942,"Untest")</f>
        <v>Untested: 5</v>
      </c>
      <c r="F2" s="3"/>
      <c r="G2" s="7"/>
      <c r="H2" s="7"/>
    </row>
    <row r="3" ht="26.4" spans="1:8">
      <c r="A3" s="8" t="s">
        <v>66</v>
      </c>
      <c r="B3" s="9" t="s">
        <v>67</v>
      </c>
      <c r="C3" s="10"/>
      <c r="D3" s="5" t="str">
        <f>"Fail: "&amp;COUNTIF($F$6:$F$942,"Fail")</f>
        <v>Fail: 0</v>
      </c>
      <c r="E3" s="6" t="str">
        <f>"N/A: "&amp;COUNTIF($F$6:$F$942,"N/A")</f>
        <v>N/A: 0</v>
      </c>
      <c r="F3" s="11"/>
      <c r="G3" s="7"/>
      <c r="H3" s="7"/>
    </row>
    <row r="4" ht="13.8" spans="1:8">
      <c r="A4" s="12" t="s">
        <v>68</v>
      </c>
      <c r="B4" s="9" t="s">
        <v>23</v>
      </c>
      <c r="C4" s="12"/>
      <c r="D4" s="13" t="str">
        <f>"Percent Complete: "&amp;ROUND((COUNTIF($F$7:$F$942,"Pass")*100)/((COUNTA($A$7:$A$942)*5)-COUNTIF($F$6:$F$952,"N/A")),2)&amp;"%"</f>
        <v>Percent Complete: 0%</v>
      </c>
      <c r="E4" s="14" t="str">
        <f>"Number of cases: "&amp;(COUNTA($A$6:$A$942))</f>
        <v>Number of cases: 5</v>
      </c>
      <c r="F4" s="11"/>
      <c r="G4" s="7"/>
      <c r="H4" s="7"/>
    </row>
    <row r="5" ht="20.4" spans="1:8">
      <c r="A5" s="15" t="s">
        <v>69</v>
      </c>
      <c r="B5" s="15" t="s">
        <v>70</v>
      </c>
      <c r="C5" s="15" t="s">
        <v>71</v>
      </c>
      <c r="D5" s="15" t="s">
        <v>72</v>
      </c>
      <c r="E5" s="15" t="s">
        <v>73</v>
      </c>
      <c r="F5" s="15" t="s">
        <v>57</v>
      </c>
      <c r="G5" s="15" t="s">
        <v>74</v>
      </c>
      <c r="H5" s="15" t="s">
        <v>75</v>
      </c>
    </row>
    <row r="6" ht="40.8" spans="1:8">
      <c r="A6" s="16" t="s">
        <v>76</v>
      </c>
      <c r="B6" s="17" t="s">
        <v>77</v>
      </c>
      <c r="C6" s="17" t="s">
        <v>78</v>
      </c>
      <c r="D6" s="18" t="s">
        <v>79</v>
      </c>
      <c r="E6" s="18" t="s">
        <v>80</v>
      </c>
      <c r="F6" s="17" t="s">
        <v>81</v>
      </c>
      <c r="G6" s="19"/>
      <c r="H6" s="18"/>
    </row>
    <row r="7" ht="40.8" spans="1:8">
      <c r="A7" s="16" t="s">
        <v>82</v>
      </c>
      <c r="B7" s="17" t="s">
        <v>83</v>
      </c>
      <c r="C7" s="18" t="s">
        <v>84</v>
      </c>
      <c r="D7" s="18" t="s">
        <v>85</v>
      </c>
      <c r="E7" s="18" t="s">
        <v>86</v>
      </c>
      <c r="F7" s="17" t="s">
        <v>81</v>
      </c>
      <c r="G7" s="20"/>
      <c r="H7" s="17"/>
    </row>
    <row r="8" ht="40.8" spans="1:8">
      <c r="A8" s="16" t="s">
        <v>87</v>
      </c>
      <c r="B8" s="17" t="s">
        <v>88</v>
      </c>
      <c r="C8" s="18" t="s">
        <v>84</v>
      </c>
      <c r="D8" s="18" t="s">
        <v>89</v>
      </c>
      <c r="E8" s="18" t="s">
        <v>90</v>
      </c>
      <c r="F8" s="17" t="s">
        <v>81</v>
      </c>
      <c r="G8" s="19"/>
      <c r="H8" s="17"/>
    </row>
    <row r="9" ht="40.8" spans="1:8">
      <c r="A9" s="16" t="s">
        <v>91</v>
      </c>
      <c r="B9" s="18" t="s">
        <v>92</v>
      </c>
      <c r="C9" s="21" t="s">
        <v>84</v>
      </c>
      <c r="D9" s="18" t="s">
        <v>93</v>
      </c>
      <c r="E9" s="18" t="s">
        <v>94</v>
      </c>
      <c r="F9" s="22" t="s">
        <v>81</v>
      </c>
      <c r="G9" s="23"/>
      <c r="H9" s="17"/>
    </row>
    <row r="10" ht="40.8" spans="1:8">
      <c r="A10" s="16" t="s">
        <v>95</v>
      </c>
      <c r="B10" s="18" t="s">
        <v>96</v>
      </c>
      <c r="C10" s="21" t="s">
        <v>84</v>
      </c>
      <c r="D10" s="18" t="s">
        <v>97</v>
      </c>
      <c r="E10" s="18" t="s">
        <v>98</v>
      </c>
      <c r="F10" s="22" t="s">
        <v>81</v>
      </c>
      <c r="G10" s="23"/>
      <c r="H10" s="17"/>
    </row>
    <row r="12" spans="2:3">
      <c r="B12" s="24" t="s">
        <v>17</v>
      </c>
      <c r="C12" s="25" t="s">
        <v>18</v>
      </c>
    </row>
  </sheetData>
  <mergeCells count="1">
    <mergeCell ref="A1:H1"/>
  </mergeCells>
  <dataValidations count="1">
    <dataValidation type="list" allowBlank="1" sqref="F6:F10">
      <formula1>"Pass,Fail,Untest,N/A"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2015-06-05T18:17:00Z</dcterms:created>
  <dcterms:modified xsi:type="dcterms:W3CDTF">2025-07-30T07:25:53Z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8D4B0039F5C548EAB3B3E0B8EF02E2DA_12</vt:lpwstr>
  </property>
  <property fmtid="{D5CDD505-2E9C-101B-9397-08002B2CF9AE}" pid="3" name="KSOProductBuildVer">
    <vt:lpwstr>1033-12.2.0.21931</vt:lpwstr>
  </property>
</Properties>
</file>